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hpatz\Documents\School Work\Career\"/>
    </mc:Choice>
  </mc:AlternateContent>
  <xr:revisionPtr revIDLastSave="0" documentId="13_ncr:1_{976FA34D-C9CE-4888-9A6B-B2A57421C500}" xr6:coauthVersionLast="44" xr6:coauthVersionMax="44" xr10:uidLastSave="{00000000-0000-0000-0000-000000000000}"/>
  <bookViews>
    <workbookView xWindow="-110" yWindow="-110" windowWidth="19420" windowHeight="10420" xr2:uid="{C6685878-4ED8-4A19-AE9E-8AABAD77F78F}"/>
  </bookViews>
  <sheets>
    <sheet name="Summary" sheetId="9" r:id="rId1"/>
    <sheet name="xData Player 18-19" sheetId="2" r:id="rId2"/>
    <sheet name="xData Team 18-19" sheetId="3" r:id="rId3"/>
    <sheet name="FPL Playerbase" sheetId="4" r:id="rId4"/>
    <sheet name="BPs 18-19" sheetId="8" r:id="rId5"/>
    <sheet name="Scrap" sheetId="6" r:id="rId6"/>
  </sheets>
  <functionGroups builtInGroupCount="19"/>
  <definedNames>
    <definedName name="_xlnm._FilterDatabase" localSheetId="3" hidden="1">'FPL Playerbase'!$A$1:$E$462</definedName>
    <definedName name="_xlnm._FilterDatabase" localSheetId="5" hidden="1">Scrap!$L$1:$N$1</definedName>
    <definedName name="_xlnm._FilterDatabase" localSheetId="1" hidden="1">'xData Player 18-19'!$A$1:$AD$160</definedName>
    <definedName name="_xlnm._FilterDatabase" localSheetId="2" hidden="1">'xData Team 18-19'!$A$1:$S$1</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43389.6531018519</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_xlnm.Print_Area" localSheetId="0">Summary!$B$1:$J$54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O2" i="3" l="1"/>
  <c r="R2" i="3"/>
  <c r="S2" i="3"/>
  <c r="O3" i="3"/>
  <c r="R3" i="3"/>
  <c r="S3" i="3"/>
  <c r="O4" i="3"/>
  <c r="R4" i="3"/>
  <c r="S4" i="3"/>
  <c r="O5" i="3"/>
  <c r="R5" i="3"/>
  <c r="S5" i="3"/>
  <c r="O6" i="3"/>
  <c r="R6" i="3"/>
  <c r="S6" i="3"/>
  <c r="O7" i="3"/>
  <c r="R7" i="3"/>
  <c r="S7" i="3"/>
  <c r="O8" i="3"/>
  <c r="R8" i="3"/>
  <c r="S8" i="3"/>
  <c r="O9" i="3"/>
  <c r="R9" i="3"/>
  <c r="S9" i="3"/>
  <c r="O10" i="3"/>
  <c r="R10" i="3"/>
  <c r="S10" i="3"/>
  <c r="O11" i="3"/>
  <c r="R11" i="3"/>
  <c r="S11" i="3"/>
  <c r="O12" i="3"/>
  <c r="R12" i="3"/>
  <c r="S12" i="3"/>
  <c r="O13" i="3"/>
  <c r="R13" i="3"/>
  <c r="S13" i="3"/>
  <c r="O14" i="3"/>
  <c r="R14" i="3"/>
  <c r="S14" i="3"/>
  <c r="O15" i="3"/>
  <c r="R15" i="3"/>
  <c r="S15" i="3"/>
  <c r="O16" i="3"/>
  <c r="R16" i="3"/>
  <c r="S16" i="3"/>
  <c r="O17" i="3"/>
  <c r="R17" i="3"/>
  <c r="S17" i="3"/>
  <c r="O18" i="3"/>
  <c r="R18" i="3"/>
  <c r="S18" i="3"/>
  <c r="O19" i="3"/>
  <c r="R19" i="3"/>
  <c r="S19" i="3"/>
  <c r="O20" i="3"/>
  <c r="R20" i="3"/>
  <c r="S20" i="3"/>
  <c r="O21" i="3"/>
  <c r="R21" i="3"/>
  <c r="S21" i="3"/>
  <c r="G2" i="2"/>
  <c r="T2" i="2"/>
  <c r="G3" i="2"/>
  <c r="T3" i="2"/>
  <c r="G4" i="2"/>
  <c r="T4" i="2"/>
  <c r="G5" i="2"/>
  <c r="T5" i="2"/>
  <c r="G6" i="2"/>
  <c r="T6" i="2"/>
  <c r="G7" i="2"/>
  <c r="T7" i="2"/>
  <c r="G8" i="2"/>
  <c r="T8" i="2"/>
  <c r="G9" i="2"/>
  <c r="T9" i="2"/>
  <c r="G10" i="2"/>
  <c r="T10" i="2"/>
  <c r="G11" i="2"/>
  <c r="T11" i="2"/>
  <c r="G12" i="2"/>
  <c r="T12" i="2"/>
  <c r="G13" i="2"/>
  <c r="T13" i="2"/>
  <c r="G14" i="2"/>
  <c r="T14" i="2"/>
  <c r="G15" i="2"/>
  <c r="T15" i="2"/>
  <c r="G16" i="2"/>
  <c r="T16" i="2"/>
  <c r="G17" i="2"/>
  <c r="T17" i="2"/>
  <c r="G18" i="2"/>
  <c r="T18" i="2"/>
  <c r="G19" i="2"/>
  <c r="T19" i="2"/>
  <c r="G20" i="2"/>
  <c r="T20" i="2"/>
  <c r="G21" i="2"/>
  <c r="T21" i="2"/>
  <c r="G22" i="2"/>
  <c r="T22" i="2"/>
  <c r="G23" i="2"/>
  <c r="T23" i="2"/>
  <c r="G24" i="2"/>
  <c r="T24" i="2"/>
  <c r="G25" i="2"/>
  <c r="T25" i="2"/>
  <c r="G26" i="2"/>
  <c r="T26" i="2"/>
  <c r="G27" i="2"/>
  <c r="T27" i="2"/>
  <c r="G28" i="2"/>
  <c r="T28" i="2"/>
  <c r="G29" i="2"/>
  <c r="T29" i="2"/>
  <c r="G30" i="2"/>
  <c r="T30" i="2"/>
  <c r="G31" i="2"/>
  <c r="T31" i="2"/>
  <c r="G32" i="2"/>
  <c r="T32" i="2"/>
  <c r="G33" i="2"/>
  <c r="T33" i="2"/>
  <c r="G34" i="2"/>
  <c r="T34" i="2"/>
  <c r="G35" i="2"/>
  <c r="T35" i="2"/>
  <c r="G36" i="2"/>
  <c r="T36" i="2"/>
  <c r="G37" i="2"/>
  <c r="T37" i="2"/>
  <c r="G38" i="2"/>
  <c r="T38" i="2"/>
  <c r="G39" i="2"/>
  <c r="T39" i="2"/>
  <c r="G40" i="2"/>
  <c r="T40" i="2"/>
  <c r="G41" i="2"/>
  <c r="T41" i="2"/>
  <c r="G42" i="2"/>
  <c r="T42" i="2"/>
  <c r="G43" i="2"/>
  <c r="T43" i="2"/>
  <c r="G44" i="2"/>
  <c r="T44" i="2"/>
  <c r="G45" i="2"/>
  <c r="T45" i="2"/>
  <c r="G46" i="2"/>
  <c r="T46" i="2"/>
  <c r="G47" i="2"/>
  <c r="T47" i="2"/>
  <c r="G48" i="2"/>
  <c r="T48" i="2"/>
  <c r="G49" i="2"/>
  <c r="T49" i="2"/>
  <c r="G50" i="2"/>
  <c r="T50" i="2"/>
  <c r="G51" i="2"/>
  <c r="T51" i="2"/>
  <c r="G52" i="2"/>
  <c r="T52" i="2"/>
  <c r="G53" i="2"/>
  <c r="T53" i="2"/>
  <c r="G54" i="2"/>
  <c r="T54" i="2"/>
  <c r="G55" i="2"/>
  <c r="T55" i="2"/>
  <c r="G56" i="2"/>
  <c r="T56" i="2"/>
  <c r="G57" i="2"/>
  <c r="T57" i="2"/>
  <c r="G58" i="2"/>
  <c r="T58" i="2"/>
  <c r="G59" i="2"/>
  <c r="T59" i="2"/>
  <c r="G60" i="2"/>
  <c r="T60" i="2"/>
  <c r="G61" i="2"/>
  <c r="T61" i="2"/>
  <c r="G62" i="2"/>
  <c r="T62" i="2"/>
  <c r="G63" i="2"/>
  <c r="T63" i="2"/>
  <c r="G64" i="2"/>
  <c r="T64" i="2"/>
  <c r="G65" i="2"/>
  <c r="T65" i="2"/>
  <c r="G66" i="2"/>
  <c r="T66" i="2"/>
  <c r="G67" i="2"/>
  <c r="T67" i="2"/>
  <c r="G68" i="2"/>
  <c r="T68" i="2"/>
  <c r="G69" i="2"/>
  <c r="T69" i="2"/>
  <c r="G70" i="2"/>
  <c r="T70" i="2"/>
  <c r="G71" i="2"/>
  <c r="T71" i="2"/>
  <c r="G72" i="2"/>
  <c r="T72" i="2"/>
  <c r="G73" i="2"/>
  <c r="T73" i="2"/>
  <c r="G74" i="2"/>
  <c r="T74" i="2"/>
  <c r="G75" i="2"/>
  <c r="T75" i="2"/>
  <c r="G76" i="2"/>
  <c r="T76" i="2"/>
  <c r="G77" i="2"/>
  <c r="T77" i="2"/>
  <c r="G78" i="2"/>
  <c r="T78" i="2"/>
  <c r="G79" i="2"/>
  <c r="T79" i="2"/>
  <c r="G80" i="2"/>
  <c r="T80" i="2"/>
  <c r="G81" i="2"/>
  <c r="T81" i="2"/>
  <c r="G82" i="2"/>
  <c r="T82" i="2"/>
  <c r="G83" i="2"/>
  <c r="T83" i="2"/>
  <c r="G84" i="2"/>
  <c r="T84" i="2"/>
  <c r="G85" i="2"/>
  <c r="T85" i="2"/>
  <c r="G86" i="2"/>
  <c r="T86" i="2"/>
  <c r="G87" i="2"/>
  <c r="T87" i="2"/>
  <c r="G88" i="2"/>
  <c r="T88" i="2"/>
  <c r="G89" i="2"/>
  <c r="T89" i="2"/>
  <c r="G90" i="2"/>
  <c r="T90" i="2"/>
  <c r="G91" i="2"/>
  <c r="T91" i="2"/>
  <c r="G92" i="2"/>
  <c r="T92" i="2"/>
  <c r="G93" i="2"/>
  <c r="T93" i="2"/>
  <c r="G94" i="2"/>
  <c r="T94" i="2"/>
  <c r="G95" i="2"/>
  <c r="T95" i="2"/>
  <c r="G96" i="2"/>
  <c r="T96" i="2"/>
  <c r="G97" i="2"/>
  <c r="T97" i="2"/>
  <c r="G98" i="2"/>
  <c r="T98" i="2"/>
  <c r="G99" i="2"/>
  <c r="T99" i="2"/>
  <c r="G100" i="2"/>
  <c r="T100" i="2"/>
  <c r="G101" i="2"/>
  <c r="T101" i="2"/>
  <c r="G102" i="2"/>
  <c r="T102" i="2"/>
  <c r="G103" i="2"/>
  <c r="T103" i="2"/>
  <c r="G104" i="2"/>
  <c r="T104" i="2"/>
  <c r="G105" i="2"/>
  <c r="T105" i="2"/>
  <c r="G106" i="2"/>
  <c r="T106" i="2"/>
  <c r="G107" i="2"/>
  <c r="T107" i="2"/>
  <c r="G108" i="2"/>
  <c r="T108" i="2"/>
  <c r="G109" i="2"/>
  <c r="T109" i="2"/>
  <c r="G110" i="2"/>
  <c r="T110" i="2"/>
  <c r="G111" i="2"/>
  <c r="T111" i="2"/>
  <c r="G112" i="2"/>
  <c r="T112" i="2"/>
  <c r="G113" i="2"/>
  <c r="T113" i="2"/>
  <c r="G114" i="2"/>
  <c r="T114" i="2"/>
  <c r="G115" i="2"/>
  <c r="T115" i="2"/>
  <c r="G116" i="2"/>
  <c r="T116" i="2"/>
  <c r="G117" i="2"/>
  <c r="T117" i="2"/>
  <c r="G118" i="2"/>
  <c r="T118" i="2"/>
  <c r="G119" i="2"/>
  <c r="T119" i="2"/>
  <c r="G120" i="2"/>
  <c r="T120" i="2"/>
  <c r="G121" i="2"/>
  <c r="T121" i="2"/>
  <c r="G122" i="2"/>
  <c r="T122" i="2"/>
  <c r="G123" i="2"/>
  <c r="T123" i="2"/>
  <c r="G124" i="2"/>
  <c r="T124" i="2"/>
  <c r="G125" i="2"/>
  <c r="T125" i="2"/>
  <c r="G126" i="2"/>
  <c r="T126" i="2"/>
  <c r="G127" i="2"/>
  <c r="T127" i="2"/>
  <c r="G128" i="2"/>
  <c r="T128" i="2"/>
  <c r="G129" i="2"/>
  <c r="T129" i="2"/>
  <c r="G130" i="2"/>
  <c r="T130" i="2"/>
  <c r="G131" i="2"/>
  <c r="T131" i="2"/>
  <c r="G132" i="2"/>
  <c r="T132" i="2"/>
  <c r="G133" i="2"/>
  <c r="T133" i="2"/>
  <c r="G134" i="2"/>
  <c r="T134" i="2"/>
  <c r="G135" i="2"/>
  <c r="T135" i="2"/>
  <c r="G136" i="2"/>
  <c r="T136" i="2"/>
  <c r="G137" i="2"/>
  <c r="T137" i="2"/>
  <c r="G138" i="2"/>
  <c r="T138" i="2"/>
  <c r="G139" i="2"/>
  <c r="T139" i="2"/>
  <c r="G140" i="2"/>
  <c r="T140" i="2"/>
  <c r="G141" i="2"/>
  <c r="T141" i="2"/>
  <c r="G142" i="2"/>
  <c r="T142" i="2"/>
  <c r="G143" i="2"/>
  <c r="T143" i="2"/>
  <c r="G144" i="2"/>
  <c r="T144" i="2"/>
  <c r="G145" i="2"/>
  <c r="T145" i="2"/>
  <c r="G146" i="2"/>
  <c r="T146" i="2"/>
  <c r="G147" i="2"/>
  <c r="T147" i="2"/>
  <c r="G148" i="2"/>
  <c r="T148" i="2"/>
  <c r="G149" i="2"/>
  <c r="T149" i="2"/>
  <c r="G150" i="2"/>
  <c r="T150" i="2"/>
  <c r="G151" i="2"/>
  <c r="T151" i="2"/>
  <c r="G152" i="2"/>
  <c r="T152" i="2"/>
  <c r="G153" i="2"/>
  <c r="T153" i="2"/>
  <c r="G154" i="2"/>
  <c r="T154" i="2"/>
  <c r="G155" i="2"/>
  <c r="T155" i="2"/>
  <c r="G156" i="2"/>
  <c r="T156" i="2"/>
  <c r="G157" i="2"/>
  <c r="T157" i="2"/>
  <c r="G158" i="2"/>
  <c r="T158" i="2"/>
  <c r="T159" i="2"/>
  <c r="T160" i="2"/>
  <c r="W4" i="2"/>
  <c r="W8" i="2"/>
  <c r="W12" i="2"/>
  <c r="W16" i="2"/>
  <c r="W20" i="2"/>
  <c r="W24" i="2"/>
  <c r="W28" i="2"/>
  <c r="W32" i="2"/>
  <c r="W36" i="2"/>
  <c r="W40" i="2"/>
  <c r="W44" i="2"/>
  <c r="W48" i="2"/>
  <c r="W5" i="2"/>
  <c r="W9" i="2"/>
  <c r="W13" i="2"/>
  <c r="W17" i="2"/>
  <c r="W21" i="2"/>
  <c r="W25" i="2"/>
  <c r="W29" i="2"/>
  <c r="W33" i="2"/>
  <c r="W37" i="2"/>
  <c r="W41" i="2"/>
  <c r="W45" i="2"/>
  <c r="W49" i="2"/>
  <c r="W2" i="2"/>
  <c r="W6" i="2"/>
  <c r="W10" i="2"/>
  <c r="W14" i="2"/>
  <c r="W18" i="2"/>
  <c r="W22" i="2"/>
  <c r="W26" i="2"/>
  <c r="W30" i="2"/>
  <c r="W34" i="2"/>
  <c r="W38" i="2"/>
  <c r="W42" i="2"/>
  <c r="W46" i="2"/>
  <c r="W50" i="2"/>
  <c r="W11" i="2"/>
  <c r="W27" i="2"/>
  <c r="W43" i="2"/>
  <c r="W52" i="2"/>
  <c r="W54" i="2"/>
  <c r="W58" i="2"/>
  <c r="W62" i="2"/>
  <c r="W66" i="2"/>
  <c r="W70" i="2"/>
  <c r="W74" i="2"/>
  <c r="W78" i="2"/>
  <c r="W82" i="2"/>
  <c r="W86" i="2"/>
  <c r="W7" i="2"/>
  <c r="W23" i="2"/>
  <c r="W39" i="2"/>
  <c r="W55" i="2"/>
  <c r="W59" i="2"/>
  <c r="W63" i="2"/>
  <c r="W67" i="2"/>
  <c r="W71" i="2"/>
  <c r="W75" i="2"/>
  <c r="W3" i="2"/>
  <c r="W19" i="2"/>
  <c r="W35" i="2"/>
  <c r="W56" i="2"/>
  <c r="W60" i="2"/>
  <c r="W64" i="2"/>
  <c r="W68" i="2"/>
  <c r="W72" i="2"/>
  <c r="W76" i="2"/>
  <c r="W80" i="2"/>
  <c r="W84" i="2"/>
  <c r="W88" i="2"/>
  <c r="W15" i="2"/>
  <c r="W53" i="2"/>
  <c r="W69" i="2"/>
  <c r="W81" i="2"/>
  <c r="W89" i="2"/>
  <c r="W90" i="2"/>
  <c r="W92" i="2"/>
  <c r="W96" i="2"/>
  <c r="W100" i="2"/>
  <c r="W104" i="2"/>
  <c r="W108" i="2"/>
  <c r="W112" i="2"/>
  <c r="W116" i="2"/>
  <c r="W120" i="2"/>
  <c r="W124" i="2"/>
  <c r="W65" i="2"/>
  <c r="W79" i="2"/>
  <c r="W93" i="2"/>
  <c r="W97" i="2"/>
  <c r="W101" i="2"/>
  <c r="W105" i="2"/>
  <c r="W109" i="2"/>
  <c r="W113" i="2"/>
  <c r="W117" i="2"/>
  <c r="W47" i="2"/>
  <c r="W51" i="2"/>
  <c r="W61" i="2"/>
  <c r="W77" i="2"/>
  <c r="W85" i="2"/>
  <c r="W87" i="2"/>
  <c r="W94" i="2"/>
  <c r="W98" i="2"/>
  <c r="W102" i="2"/>
  <c r="W106" i="2"/>
  <c r="W110" i="2"/>
  <c r="W114" i="2"/>
  <c r="W118" i="2"/>
  <c r="W122" i="2"/>
  <c r="W126" i="2"/>
  <c r="W103" i="2"/>
  <c r="W119" i="2"/>
  <c r="W121" i="2"/>
  <c r="W129" i="2"/>
  <c r="W130" i="2"/>
  <c r="W134" i="2"/>
  <c r="W138" i="2"/>
  <c r="W142" i="2"/>
  <c r="W146" i="2"/>
  <c r="W150" i="2"/>
  <c r="W154" i="2"/>
  <c r="W158" i="2"/>
  <c r="W159" i="2"/>
  <c r="W160" i="2"/>
  <c r="W151" i="2"/>
  <c r="W83" i="2"/>
  <c r="W123" i="2"/>
  <c r="W145" i="2"/>
  <c r="W149" i="2"/>
  <c r="W153" i="2"/>
  <c r="W31" i="2"/>
  <c r="W99" i="2"/>
  <c r="W115" i="2"/>
  <c r="W127" i="2"/>
  <c r="W128" i="2"/>
  <c r="W131" i="2"/>
  <c r="W135" i="2"/>
  <c r="W139" i="2"/>
  <c r="W143" i="2"/>
  <c r="W147" i="2"/>
  <c r="W155" i="2"/>
  <c r="W125" i="2"/>
  <c r="W133" i="2"/>
  <c r="W137" i="2"/>
  <c r="W157" i="2"/>
  <c r="W73" i="2"/>
  <c r="W95" i="2"/>
  <c r="W111" i="2"/>
  <c r="W132" i="2"/>
  <c r="W136" i="2"/>
  <c r="W140" i="2"/>
  <c r="W144" i="2"/>
  <c r="W148" i="2"/>
  <c r="W152" i="2"/>
  <c r="W156" i="2"/>
  <c r="W57" i="2"/>
  <c r="W91" i="2"/>
  <c r="W107" i="2"/>
  <c r="W141" i="2"/>
  <c r="X141" i="2" l="1"/>
  <c r="Y141" i="2" s="1"/>
  <c r="AB141" i="2"/>
  <c r="AA141" i="2"/>
  <c r="X107" i="2"/>
  <c r="Y107" i="2" s="1"/>
  <c r="AA107" i="2"/>
  <c r="AB107" i="2"/>
  <c r="X91" i="2"/>
  <c r="Y91" i="2" s="1"/>
  <c r="AA91" i="2"/>
  <c r="AB91" i="2"/>
  <c r="X57" i="2"/>
  <c r="Y57" i="2" s="1"/>
  <c r="AA57" i="2"/>
  <c r="AB57" i="2"/>
  <c r="AA156" i="2"/>
  <c r="AB156" i="2"/>
  <c r="X156" i="2"/>
  <c r="Y156" i="2" s="1"/>
  <c r="AA152" i="2"/>
  <c r="X152" i="2"/>
  <c r="Y152" i="2" s="1"/>
  <c r="AB152" i="2"/>
  <c r="AA148" i="2"/>
  <c r="X148" i="2"/>
  <c r="Y148" i="2" s="1"/>
  <c r="AB148" i="2"/>
  <c r="AA144" i="2"/>
  <c r="AB144" i="2"/>
  <c r="X144" i="2"/>
  <c r="Y144" i="2" s="1"/>
  <c r="X140" i="2"/>
  <c r="Y140" i="2" s="1"/>
  <c r="AA140" i="2"/>
  <c r="AB140" i="2"/>
  <c r="AA136" i="2"/>
  <c r="AB136" i="2"/>
  <c r="X136" i="2"/>
  <c r="Y136" i="2" s="1"/>
  <c r="X132" i="2"/>
  <c r="Y132" i="2" s="1"/>
  <c r="AA132" i="2"/>
  <c r="AB132" i="2"/>
  <c r="X111" i="2"/>
  <c r="Y111" i="2" s="1"/>
  <c r="AA111" i="2"/>
  <c r="AB111" i="2"/>
  <c r="X95" i="2"/>
  <c r="Y95" i="2" s="1"/>
  <c r="AA95" i="2"/>
  <c r="AB95" i="2"/>
  <c r="X73" i="2"/>
  <c r="Y73" i="2" s="1"/>
  <c r="AA73" i="2"/>
  <c r="AB73" i="2"/>
  <c r="X157" i="2"/>
  <c r="Y157" i="2" s="1"/>
  <c r="AB157" i="2"/>
  <c r="AA157" i="2"/>
  <c r="X137" i="2"/>
  <c r="Y137" i="2" s="1"/>
  <c r="AA137" i="2"/>
  <c r="AB137" i="2"/>
  <c r="X133" i="2"/>
  <c r="Y133" i="2" s="1"/>
  <c r="AB133" i="2"/>
  <c r="AA133" i="2"/>
  <c r="X125" i="2"/>
  <c r="Y125" i="2" s="1"/>
  <c r="AA125" i="2"/>
  <c r="AB125" i="2"/>
  <c r="AA155" i="2"/>
  <c r="AB155" i="2"/>
  <c r="X155" i="2"/>
  <c r="Y155" i="2" s="1"/>
  <c r="AA147" i="2"/>
  <c r="AB147" i="2"/>
  <c r="X147" i="2"/>
  <c r="Y147" i="2" s="1"/>
  <c r="AA143" i="2"/>
  <c r="AB143" i="2"/>
  <c r="X143" i="2"/>
  <c r="Y143" i="2" s="1"/>
  <c r="AA139" i="2"/>
  <c r="AB139" i="2"/>
  <c r="X139" i="2"/>
  <c r="Y139" i="2" s="1"/>
  <c r="AA135" i="2"/>
  <c r="AB135" i="2"/>
  <c r="X135" i="2"/>
  <c r="Y135" i="2" s="1"/>
  <c r="AA131" i="2"/>
  <c r="AB131" i="2"/>
  <c r="X131" i="2"/>
  <c r="Y131" i="2" s="1"/>
  <c r="AB128" i="2"/>
  <c r="X128" i="2"/>
  <c r="Y128" i="2" s="1"/>
  <c r="AA128" i="2"/>
  <c r="AA127" i="2"/>
  <c r="AB127" i="2"/>
  <c r="X127" i="2"/>
  <c r="Y127" i="2" s="1"/>
  <c r="X115" i="2"/>
  <c r="Y115" i="2" s="1"/>
  <c r="AA115" i="2"/>
  <c r="AB115" i="2"/>
  <c r="X99" i="2"/>
  <c r="Y99" i="2" s="1"/>
  <c r="AA99" i="2"/>
  <c r="AB99" i="2"/>
  <c r="X31" i="2"/>
  <c r="Y31" i="2" s="1"/>
  <c r="AA31" i="2"/>
  <c r="AB31" i="2"/>
  <c r="X153" i="2"/>
  <c r="Y153" i="2" s="1"/>
  <c r="AA153" i="2"/>
  <c r="AB153" i="2"/>
  <c r="X149" i="2"/>
  <c r="Y149" i="2" s="1"/>
  <c r="AB149" i="2"/>
  <c r="AA149" i="2"/>
  <c r="X145" i="2"/>
  <c r="Y145" i="2" s="1"/>
  <c r="AA145" i="2"/>
  <c r="AB145" i="2"/>
  <c r="X123" i="2"/>
  <c r="Y123" i="2" s="1"/>
  <c r="AA123" i="2"/>
  <c r="AB123" i="2"/>
  <c r="AA83" i="2"/>
  <c r="X83" i="2"/>
  <c r="Y83" i="2" s="1"/>
  <c r="AB83" i="2"/>
  <c r="AA151" i="2"/>
  <c r="AB151" i="2"/>
  <c r="X151" i="2"/>
  <c r="Y151" i="2" s="1"/>
  <c r="AB160" i="2"/>
  <c r="X160" i="2"/>
  <c r="Y160" i="2" s="1"/>
  <c r="AA160" i="2"/>
  <c r="AB159" i="2"/>
  <c r="X159" i="2"/>
  <c r="Y159" i="2" s="1"/>
  <c r="AA159" i="2"/>
  <c r="AB158" i="2"/>
  <c r="X158" i="2"/>
  <c r="Y158" i="2" s="1"/>
  <c r="AA158" i="2"/>
  <c r="AB154" i="2"/>
  <c r="X154" i="2"/>
  <c r="Y154" i="2" s="1"/>
  <c r="AA154" i="2"/>
  <c r="AB150" i="2"/>
  <c r="X150" i="2"/>
  <c r="Y150" i="2" s="1"/>
  <c r="AA150" i="2"/>
  <c r="AB146" i="2"/>
  <c r="X146" i="2"/>
  <c r="Y146" i="2" s="1"/>
  <c r="AA146" i="2"/>
  <c r="AB142" i="2"/>
  <c r="AA142" i="2"/>
  <c r="X142" i="2"/>
  <c r="Y142" i="2" s="1"/>
  <c r="AB138" i="2"/>
  <c r="X138" i="2"/>
  <c r="Y138" i="2" s="1"/>
  <c r="AA138" i="2"/>
  <c r="AB134" i="2"/>
  <c r="AA134" i="2"/>
  <c r="X134" i="2"/>
  <c r="Y134" i="2" s="1"/>
  <c r="AB130" i="2"/>
  <c r="AA130" i="2"/>
  <c r="X130" i="2"/>
  <c r="Y130" i="2" s="1"/>
  <c r="X129" i="2"/>
  <c r="Y129" i="2" s="1"/>
  <c r="AA129" i="2"/>
  <c r="AB129" i="2"/>
  <c r="AA121" i="2"/>
  <c r="X121" i="2"/>
  <c r="Y121" i="2" s="1"/>
  <c r="AB121" i="2"/>
  <c r="X119" i="2"/>
  <c r="Y119" i="2" s="1"/>
  <c r="AA119" i="2"/>
  <c r="AB119" i="2"/>
  <c r="X103" i="2"/>
  <c r="Y103" i="2" s="1"/>
  <c r="AA103" i="2"/>
  <c r="AB103" i="2"/>
  <c r="AB126" i="2"/>
  <c r="AA126" i="2"/>
  <c r="X126" i="2"/>
  <c r="Y126" i="2" s="1"/>
  <c r="AB122" i="2"/>
  <c r="X122" i="2"/>
  <c r="Y122" i="2" s="1"/>
  <c r="AA122" i="2"/>
  <c r="AA118" i="2"/>
  <c r="AB118" i="2"/>
  <c r="X118" i="2"/>
  <c r="Y118" i="2" s="1"/>
  <c r="AA114" i="2"/>
  <c r="AB114" i="2"/>
  <c r="X114" i="2"/>
  <c r="Y114" i="2" s="1"/>
  <c r="AA110" i="2"/>
  <c r="AB110" i="2"/>
  <c r="X110" i="2"/>
  <c r="Y110" i="2" s="1"/>
  <c r="AA106" i="2"/>
  <c r="AB106" i="2"/>
  <c r="X106" i="2"/>
  <c r="Y106" i="2" s="1"/>
  <c r="AA102" i="2"/>
  <c r="AB102" i="2"/>
  <c r="X102" i="2"/>
  <c r="Y102" i="2" s="1"/>
  <c r="AA98" i="2"/>
  <c r="AB98" i="2"/>
  <c r="X98" i="2"/>
  <c r="Y98" i="2" s="1"/>
  <c r="AA94" i="2"/>
  <c r="AB94" i="2"/>
  <c r="X94" i="2"/>
  <c r="Y94" i="2" s="1"/>
  <c r="X87" i="2"/>
  <c r="Y87" i="2" s="1"/>
  <c r="AA87" i="2"/>
  <c r="AB87" i="2"/>
  <c r="X85" i="2"/>
  <c r="Y85" i="2" s="1"/>
  <c r="AA85" i="2"/>
  <c r="AB85" i="2"/>
  <c r="X77" i="2"/>
  <c r="Y77" i="2" s="1"/>
  <c r="AA77" i="2"/>
  <c r="AB77" i="2"/>
  <c r="X61" i="2"/>
  <c r="Y61" i="2" s="1"/>
  <c r="AA61" i="2"/>
  <c r="AB61" i="2"/>
  <c r="X51" i="2"/>
  <c r="Y51" i="2" s="1"/>
  <c r="AA51" i="2"/>
  <c r="AB51" i="2"/>
  <c r="X47" i="2"/>
  <c r="Y47" i="2" s="1"/>
  <c r="AA47" i="2"/>
  <c r="AB47" i="2"/>
  <c r="AA117" i="2"/>
  <c r="AB117" i="2"/>
  <c r="X117" i="2"/>
  <c r="Y117" i="2" s="1"/>
  <c r="AA113" i="2"/>
  <c r="AB113" i="2"/>
  <c r="X113" i="2"/>
  <c r="Y113" i="2" s="1"/>
  <c r="AA109" i="2"/>
  <c r="AB109" i="2"/>
  <c r="X109" i="2"/>
  <c r="Y109" i="2" s="1"/>
  <c r="AA105" i="2"/>
  <c r="AB105" i="2"/>
  <c r="X105" i="2"/>
  <c r="Y105" i="2" s="1"/>
  <c r="AA101" i="2"/>
  <c r="AB101" i="2"/>
  <c r="X101" i="2"/>
  <c r="Y101" i="2" s="1"/>
  <c r="AA97" i="2"/>
  <c r="AB97" i="2"/>
  <c r="X97" i="2"/>
  <c r="Y97" i="2" s="1"/>
  <c r="AA93" i="2"/>
  <c r="AB93" i="2"/>
  <c r="X93" i="2"/>
  <c r="Y93" i="2" s="1"/>
  <c r="AA79" i="2"/>
  <c r="X79" i="2"/>
  <c r="Y79" i="2" s="1"/>
  <c r="AB79" i="2"/>
  <c r="X65" i="2"/>
  <c r="Y65" i="2" s="1"/>
  <c r="AA65" i="2"/>
  <c r="AB65" i="2"/>
  <c r="X124" i="2"/>
  <c r="Y124" i="2" s="1"/>
  <c r="AA124" i="2"/>
  <c r="AB124" i="2"/>
  <c r="AB120" i="2"/>
  <c r="X120" i="2"/>
  <c r="Y120" i="2" s="1"/>
  <c r="AA120" i="2"/>
  <c r="AB116" i="2"/>
  <c r="X116" i="2"/>
  <c r="Y116" i="2" s="1"/>
  <c r="AA116" i="2"/>
  <c r="AB112" i="2"/>
  <c r="X112" i="2"/>
  <c r="Y112" i="2" s="1"/>
  <c r="AA112" i="2"/>
  <c r="AB108" i="2"/>
  <c r="X108" i="2"/>
  <c r="Y108" i="2" s="1"/>
  <c r="AA108" i="2"/>
  <c r="AB104" i="2"/>
  <c r="X104" i="2"/>
  <c r="Y104" i="2" s="1"/>
  <c r="AA104" i="2"/>
  <c r="AB100" i="2"/>
  <c r="X100" i="2"/>
  <c r="Y100" i="2" s="1"/>
  <c r="AA100" i="2"/>
  <c r="AB96" i="2"/>
  <c r="X96" i="2"/>
  <c r="Y96" i="2" s="1"/>
  <c r="AA96" i="2"/>
  <c r="AB92" i="2"/>
  <c r="X92" i="2"/>
  <c r="Y92" i="2" s="1"/>
  <c r="AA92" i="2"/>
  <c r="X90" i="2"/>
  <c r="Y90" i="2" s="1"/>
  <c r="AA90" i="2"/>
  <c r="AB90" i="2"/>
  <c r="AA89" i="2"/>
  <c r="X89" i="2"/>
  <c r="Y89" i="2" s="1"/>
  <c r="AB89" i="2"/>
  <c r="X81" i="2"/>
  <c r="Y81" i="2" s="1"/>
  <c r="AA81" i="2"/>
  <c r="AB81" i="2"/>
  <c r="X69" i="2"/>
  <c r="Y69" i="2" s="1"/>
  <c r="AA69" i="2"/>
  <c r="AB69" i="2"/>
  <c r="X53" i="2"/>
  <c r="Y53" i="2" s="1"/>
  <c r="AA53" i="2"/>
  <c r="AB53" i="2"/>
  <c r="X15" i="2"/>
  <c r="Y15" i="2" s="1"/>
  <c r="AA15" i="2"/>
  <c r="AB15" i="2"/>
  <c r="AB88" i="2"/>
  <c r="X88" i="2"/>
  <c r="Y88" i="2" s="1"/>
  <c r="AA88" i="2"/>
  <c r="AB84" i="2"/>
  <c r="X84" i="2"/>
  <c r="Y84" i="2" s="1"/>
  <c r="AA84" i="2"/>
  <c r="AB80" i="2"/>
  <c r="AA80" i="2"/>
  <c r="X80" i="2"/>
  <c r="Y80" i="2" s="1"/>
  <c r="AA76" i="2"/>
  <c r="AB76" i="2"/>
  <c r="X76" i="2"/>
  <c r="Y76" i="2" s="1"/>
  <c r="AA72" i="2"/>
  <c r="AB72" i="2"/>
  <c r="X72" i="2"/>
  <c r="Y72" i="2" s="1"/>
  <c r="AA68" i="2"/>
  <c r="AB68" i="2"/>
  <c r="X68" i="2"/>
  <c r="Y68" i="2" s="1"/>
  <c r="AA64" i="2"/>
  <c r="AB64" i="2"/>
  <c r="X64" i="2"/>
  <c r="Y64" i="2" s="1"/>
  <c r="AA60" i="2"/>
  <c r="AB60" i="2"/>
  <c r="X60" i="2"/>
  <c r="Y60" i="2" s="1"/>
  <c r="AA56" i="2"/>
  <c r="AB56" i="2"/>
  <c r="X56" i="2"/>
  <c r="Y56" i="2" s="1"/>
  <c r="X35" i="2"/>
  <c r="Y35" i="2" s="1"/>
  <c r="AA35" i="2"/>
  <c r="AB35" i="2"/>
  <c r="X19" i="2"/>
  <c r="Y19" i="2" s="1"/>
  <c r="AA19" i="2"/>
  <c r="AB19" i="2"/>
  <c r="X3" i="2"/>
  <c r="Y3" i="2" s="1"/>
  <c r="AA3" i="2"/>
  <c r="AB3" i="2"/>
  <c r="AA75" i="2"/>
  <c r="AB75" i="2"/>
  <c r="X75" i="2"/>
  <c r="Y75" i="2" s="1"/>
  <c r="AA71" i="2"/>
  <c r="AB71" i="2"/>
  <c r="X71" i="2"/>
  <c r="Y71" i="2" s="1"/>
  <c r="AA67" i="2"/>
  <c r="AB67" i="2"/>
  <c r="X67" i="2"/>
  <c r="Y67" i="2" s="1"/>
  <c r="AA63" i="2"/>
  <c r="AB63" i="2"/>
  <c r="X63" i="2"/>
  <c r="Y63" i="2" s="1"/>
  <c r="AA59" i="2"/>
  <c r="AB59" i="2"/>
  <c r="X59" i="2"/>
  <c r="Y59" i="2" s="1"/>
  <c r="AA55" i="2"/>
  <c r="AB55" i="2"/>
  <c r="X55" i="2"/>
  <c r="Y55" i="2" s="1"/>
  <c r="X39" i="2"/>
  <c r="Y39" i="2" s="1"/>
  <c r="AA39" i="2"/>
  <c r="AB39" i="2"/>
  <c r="X23" i="2"/>
  <c r="Y23" i="2" s="1"/>
  <c r="AA23" i="2"/>
  <c r="AB23" i="2"/>
  <c r="X7" i="2"/>
  <c r="Y7" i="2" s="1"/>
  <c r="AA7" i="2"/>
  <c r="AB7" i="2"/>
  <c r="X86" i="2"/>
  <c r="Y86" i="2" s="1"/>
  <c r="AA86" i="2"/>
  <c r="AB86" i="2"/>
  <c r="AB82" i="2"/>
  <c r="X82" i="2"/>
  <c r="Y82" i="2" s="1"/>
  <c r="AA82" i="2"/>
  <c r="AB78" i="2"/>
  <c r="X78" i="2"/>
  <c r="Y78" i="2" s="1"/>
  <c r="AA78" i="2"/>
  <c r="AB74" i="2"/>
  <c r="X74" i="2"/>
  <c r="Y74" i="2" s="1"/>
  <c r="AA74" i="2"/>
  <c r="AB70" i="2"/>
  <c r="X70" i="2"/>
  <c r="Y70" i="2" s="1"/>
  <c r="AA70" i="2"/>
  <c r="AB66" i="2"/>
  <c r="X66" i="2"/>
  <c r="Y66" i="2" s="1"/>
  <c r="AA66" i="2"/>
  <c r="AB62" i="2"/>
  <c r="X62" i="2"/>
  <c r="Y62" i="2" s="1"/>
  <c r="AA62" i="2"/>
  <c r="AB58" i="2"/>
  <c r="X58" i="2"/>
  <c r="Y58" i="2" s="1"/>
  <c r="AA58" i="2"/>
  <c r="AB54" i="2"/>
  <c r="X54" i="2"/>
  <c r="Y54" i="2" s="1"/>
  <c r="AA54" i="2"/>
  <c r="X52" i="2"/>
  <c r="Y52" i="2" s="1"/>
  <c r="AA52" i="2"/>
  <c r="AB52" i="2"/>
  <c r="X43" i="2"/>
  <c r="Y43" i="2" s="1"/>
  <c r="AA43" i="2"/>
  <c r="AB43" i="2"/>
  <c r="X27" i="2"/>
  <c r="Y27" i="2" s="1"/>
  <c r="AA27" i="2"/>
  <c r="AB27" i="2"/>
  <c r="X11" i="2"/>
  <c r="Y11" i="2" s="1"/>
  <c r="AA11" i="2"/>
  <c r="AB11" i="2"/>
  <c r="AA50" i="2"/>
  <c r="X50" i="2"/>
  <c r="Y50" i="2" s="1"/>
  <c r="AB50" i="2"/>
  <c r="AA46" i="2"/>
  <c r="AB46" i="2"/>
  <c r="X46" i="2"/>
  <c r="Y46" i="2" s="1"/>
  <c r="AA42" i="2"/>
  <c r="AB42" i="2"/>
  <c r="X42" i="2"/>
  <c r="Y42" i="2" s="1"/>
  <c r="AA38" i="2"/>
  <c r="AB38" i="2"/>
  <c r="X38" i="2"/>
  <c r="Y38" i="2" s="1"/>
  <c r="AA34" i="2"/>
  <c r="AB34" i="2"/>
  <c r="X34" i="2"/>
  <c r="Y34" i="2" s="1"/>
  <c r="AA30" i="2"/>
  <c r="AB30" i="2"/>
  <c r="X30" i="2"/>
  <c r="Y30" i="2" s="1"/>
  <c r="AA26" i="2"/>
  <c r="AB26" i="2"/>
  <c r="X26" i="2"/>
  <c r="Y26" i="2" s="1"/>
  <c r="AA22" i="2"/>
  <c r="AB22" i="2"/>
  <c r="X22" i="2"/>
  <c r="Y22" i="2" s="1"/>
  <c r="AA18" i="2"/>
  <c r="AB18" i="2"/>
  <c r="X18" i="2"/>
  <c r="Y18" i="2" s="1"/>
  <c r="AA14" i="2"/>
  <c r="AB14" i="2"/>
  <c r="X14" i="2"/>
  <c r="Y14" i="2" s="1"/>
  <c r="AA10" i="2"/>
  <c r="AB10" i="2"/>
  <c r="X10" i="2"/>
  <c r="Y10" i="2" s="1"/>
  <c r="AA6" i="2"/>
  <c r="AB6" i="2"/>
  <c r="X6" i="2"/>
  <c r="Y6" i="2" s="1"/>
  <c r="AA2" i="2"/>
  <c r="AB2" i="2"/>
  <c r="X2" i="2"/>
  <c r="Y2" i="2" s="1"/>
  <c r="AA49" i="2"/>
  <c r="AB49" i="2"/>
  <c r="X49" i="2"/>
  <c r="Y49" i="2" s="1"/>
  <c r="AA45" i="2"/>
  <c r="AB45" i="2"/>
  <c r="X45" i="2"/>
  <c r="Y45" i="2" s="1"/>
  <c r="AA41" i="2"/>
  <c r="AB41" i="2"/>
  <c r="X41" i="2"/>
  <c r="Y41" i="2" s="1"/>
  <c r="AA37" i="2"/>
  <c r="AB37" i="2"/>
  <c r="X37" i="2"/>
  <c r="Y37" i="2" s="1"/>
  <c r="AA33" i="2"/>
  <c r="AB33" i="2"/>
  <c r="X33" i="2"/>
  <c r="Y33" i="2" s="1"/>
  <c r="AA29" i="2"/>
  <c r="AB29" i="2"/>
  <c r="X29" i="2"/>
  <c r="Y29" i="2" s="1"/>
  <c r="AA25" i="2"/>
  <c r="AB25" i="2"/>
  <c r="X25" i="2"/>
  <c r="Y25" i="2" s="1"/>
  <c r="AA21" i="2"/>
  <c r="AB21" i="2"/>
  <c r="X21" i="2"/>
  <c r="Y21" i="2" s="1"/>
  <c r="AA17" i="2"/>
  <c r="AB17" i="2"/>
  <c r="X17" i="2"/>
  <c r="Y17" i="2" s="1"/>
  <c r="AA13" i="2"/>
  <c r="AB13" i="2"/>
  <c r="X13" i="2"/>
  <c r="Y13" i="2" s="1"/>
  <c r="AA9" i="2"/>
  <c r="AB9" i="2"/>
  <c r="X9" i="2"/>
  <c r="Y9" i="2" s="1"/>
  <c r="AA5" i="2"/>
  <c r="AB5" i="2"/>
  <c r="X5" i="2"/>
  <c r="Y5" i="2" s="1"/>
  <c r="AB48" i="2"/>
  <c r="X48" i="2"/>
  <c r="Y48" i="2" s="1"/>
  <c r="AA48" i="2"/>
  <c r="AB44" i="2"/>
  <c r="X44" i="2"/>
  <c r="Y44" i="2" s="1"/>
  <c r="AA44" i="2"/>
  <c r="AB40" i="2"/>
  <c r="X40" i="2"/>
  <c r="Y40" i="2" s="1"/>
  <c r="AA40" i="2"/>
  <c r="AB36" i="2"/>
  <c r="X36" i="2"/>
  <c r="Y36" i="2" s="1"/>
  <c r="AA36" i="2"/>
  <c r="AB32" i="2"/>
  <c r="X32" i="2"/>
  <c r="Y32" i="2" s="1"/>
  <c r="AA32" i="2"/>
  <c r="AB28" i="2"/>
  <c r="X28" i="2"/>
  <c r="Y28" i="2" s="1"/>
  <c r="AA28" i="2"/>
  <c r="AB24" i="2"/>
  <c r="X24" i="2"/>
  <c r="Y24" i="2" s="1"/>
  <c r="AA24" i="2"/>
  <c r="AB20" i="2"/>
  <c r="X20" i="2"/>
  <c r="Y20" i="2" s="1"/>
  <c r="AA20" i="2"/>
  <c r="AB16" i="2"/>
  <c r="X16" i="2"/>
  <c r="Y16" i="2" s="1"/>
  <c r="AA16" i="2"/>
  <c r="AB12" i="2"/>
  <c r="X12" i="2"/>
  <c r="Y12" i="2" s="1"/>
  <c r="AA12" i="2"/>
  <c r="AB8" i="2"/>
  <c r="X8" i="2"/>
  <c r="Y8" i="2" s="1"/>
  <c r="AA8" i="2"/>
  <c r="AB4" i="2"/>
  <c r="X4" i="2"/>
  <c r="Y4" i="2" s="1"/>
  <c r="AA4" i="2"/>
  <c r="AC4" i="2" l="1"/>
  <c r="AD4" i="2"/>
  <c r="AC8" i="2"/>
  <c r="AD8" i="2"/>
  <c r="AC12" i="2"/>
  <c r="AD12" i="2"/>
  <c r="AC16" i="2"/>
  <c r="AD16" i="2"/>
  <c r="AC20" i="2"/>
  <c r="AD20" i="2"/>
  <c r="AC24" i="2"/>
  <c r="AD24" i="2"/>
  <c r="AC28" i="2"/>
  <c r="AD28" i="2"/>
  <c r="AC32" i="2"/>
  <c r="AD32" i="2"/>
  <c r="AC36" i="2"/>
  <c r="AD36" i="2"/>
  <c r="AC40" i="2"/>
  <c r="AD40" i="2"/>
  <c r="AC44" i="2"/>
  <c r="AD44" i="2"/>
  <c r="AC48" i="2"/>
  <c r="AD48" i="2"/>
  <c r="AC5" i="2"/>
  <c r="AD5" i="2"/>
  <c r="AC9" i="2"/>
  <c r="AD9" i="2"/>
  <c r="AC13" i="2"/>
  <c r="AD13" i="2"/>
  <c r="AC17" i="2"/>
  <c r="AD17" i="2"/>
  <c r="AC21" i="2"/>
  <c r="AD21" i="2"/>
  <c r="AC25" i="2"/>
  <c r="AD25" i="2"/>
  <c r="AC29" i="2"/>
  <c r="AD29" i="2"/>
  <c r="AC33" i="2"/>
  <c r="AD33" i="2"/>
  <c r="AC37" i="2"/>
  <c r="AD37" i="2"/>
  <c r="AC41" i="2"/>
  <c r="AD41" i="2"/>
  <c r="AC45" i="2"/>
  <c r="AD45" i="2"/>
  <c r="AC49" i="2"/>
  <c r="AD49" i="2"/>
  <c r="AD2" i="2"/>
  <c r="AC2" i="2"/>
  <c r="AD6" i="2"/>
  <c r="AC6" i="2"/>
  <c r="AD10" i="2"/>
  <c r="AC10" i="2"/>
  <c r="AD14" i="2"/>
  <c r="AC14" i="2"/>
  <c r="AD18" i="2"/>
  <c r="AC18" i="2"/>
  <c r="AD22" i="2"/>
  <c r="AC22" i="2"/>
  <c r="AD26" i="2"/>
  <c r="AC26" i="2"/>
  <c r="AD30" i="2"/>
  <c r="AC30" i="2"/>
  <c r="AD34" i="2"/>
  <c r="AC34" i="2"/>
  <c r="AD38" i="2"/>
  <c r="AC38" i="2"/>
  <c r="AD42" i="2"/>
  <c r="AC42" i="2"/>
  <c r="AD46" i="2"/>
  <c r="AC46" i="2"/>
  <c r="AD50" i="2"/>
  <c r="AC50" i="2"/>
  <c r="AC11" i="2"/>
  <c r="AD11" i="2"/>
  <c r="AC27" i="2"/>
  <c r="AD27" i="2"/>
  <c r="AC43" i="2"/>
  <c r="AD43" i="2"/>
  <c r="AC52" i="2"/>
  <c r="AD52" i="2"/>
  <c r="AC54" i="2"/>
  <c r="AD54" i="2"/>
  <c r="AC58" i="2"/>
  <c r="AD58" i="2"/>
  <c r="AC62" i="2"/>
  <c r="AD62" i="2"/>
  <c r="AC66" i="2"/>
  <c r="AD66" i="2"/>
  <c r="AC70" i="2"/>
  <c r="AD70" i="2"/>
  <c r="AC74" i="2"/>
  <c r="AD74" i="2"/>
  <c r="AC78" i="2"/>
  <c r="AD78" i="2"/>
  <c r="AD82" i="2"/>
  <c r="AC82" i="2"/>
  <c r="AD86" i="2"/>
  <c r="AC86" i="2"/>
  <c r="AC7" i="2"/>
  <c r="AD7" i="2"/>
  <c r="AC23" i="2"/>
  <c r="AD23" i="2"/>
  <c r="AC39" i="2"/>
  <c r="AD39" i="2"/>
  <c r="AC55" i="2"/>
  <c r="AD55" i="2"/>
  <c r="AC59" i="2"/>
  <c r="AD59" i="2"/>
  <c r="AC63" i="2"/>
  <c r="AD63" i="2"/>
  <c r="AC67" i="2"/>
  <c r="AD67" i="2"/>
  <c r="AC71" i="2"/>
  <c r="AD71" i="2"/>
  <c r="AC75" i="2"/>
  <c r="AD75" i="2"/>
  <c r="AC3" i="2"/>
  <c r="AD3" i="2"/>
  <c r="AC19" i="2"/>
  <c r="AD19" i="2"/>
  <c r="AC35" i="2"/>
  <c r="AD35" i="2"/>
  <c r="AD56" i="2"/>
  <c r="AC56" i="2"/>
  <c r="AD60" i="2"/>
  <c r="AC60" i="2"/>
  <c r="AD64" i="2"/>
  <c r="AC64" i="2"/>
  <c r="AD68" i="2"/>
  <c r="AC68" i="2"/>
  <c r="AD72" i="2"/>
  <c r="AC72" i="2"/>
  <c r="AD76" i="2"/>
  <c r="AC76" i="2"/>
  <c r="AD80" i="2"/>
  <c r="AC80" i="2"/>
  <c r="AD84" i="2"/>
  <c r="AC84" i="2"/>
  <c r="AC88" i="2"/>
  <c r="AD88" i="2"/>
  <c r="AC15" i="2"/>
  <c r="AD15" i="2"/>
  <c r="AC53" i="2"/>
  <c r="AD53" i="2"/>
  <c r="AC69" i="2"/>
  <c r="AD69" i="2"/>
  <c r="AC81" i="2"/>
  <c r="AD81" i="2"/>
  <c r="AC89" i="2"/>
  <c r="AD89" i="2"/>
  <c r="AD90" i="2"/>
  <c r="AC90" i="2"/>
  <c r="AC92" i="2"/>
  <c r="AD92" i="2"/>
  <c r="AC96" i="2"/>
  <c r="AD96" i="2"/>
  <c r="AC100" i="2"/>
  <c r="AD100" i="2"/>
  <c r="AC104" i="2"/>
  <c r="AD104" i="2"/>
  <c r="AC108" i="2"/>
  <c r="AD108" i="2"/>
  <c r="AC112" i="2"/>
  <c r="AD112" i="2"/>
  <c r="AC116" i="2"/>
  <c r="AD116" i="2"/>
  <c r="AD120" i="2"/>
  <c r="AC120" i="2"/>
  <c r="AD124" i="2"/>
  <c r="AC124" i="2"/>
  <c r="AC65" i="2"/>
  <c r="AD65" i="2"/>
  <c r="AC79" i="2"/>
  <c r="AD79" i="2"/>
  <c r="AC93" i="2"/>
  <c r="AD93" i="2"/>
  <c r="AC97" i="2"/>
  <c r="AD97" i="2"/>
  <c r="AC101" i="2"/>
  <c r="AD101" i="2"/>
  <c r="AC105" i="2"/>
  <c r="AD105" i="2"/>
  <c r="AC109" i="2"/>
  <c r="AD109" i="2"/>
  <c r="AC113" i="2"/>
  <c r="AD113" i="2"/>
  <c r="AC117" i="2"/>
  <c r="AD117" i="2"/>
  <c r="AC47" i="2"/>
  <c r="AD47" i="2"/>
  <c r="AC51" i="2"/>
  <c r="AD51" i="2"/>
  <c r="AC61" i="2"/>
  <c r="AD61" i="2"/>
  <c r="AC77" i="2"/>
  <c r="AD77" i="2"/>
  <c r="AC85" i="2"/>
  <c r="AD85" i="2"/>
  <c r="AC87" i="2"/>
  <c r="AD87" i="2"/>
  <c r="AD94" i="2"/>
  <c r="AC94" i="2"/>
  <c r="AD98" i="2"/>
  <c r="AC98" i="2"/>
  <c r="AD102" i="2"/>
  <c r="AC102" i="2"/>
  <c r="AD106" i="2"/>
  <c r="AC106" i="2"/>
  <c r="AD110" i="2"/>
  <c r="AC110" i="2"/>
  <c r="AD114" i="2"/>
  <c r="AC114" i="2"/>
  <c r="AD118" i="2"/>
  <c r="AC118" i="2"/>
  <c r="AD122" i="2"/>
  <c r="AC122" i="2"/>
  <c r="AC126" i="2"/>
  <c r="AD126" i="2"/>
  <c r="AC103" i="2"/>
  <c r="AD103" i="2"/>
  <c r="AC119" i="2"/>
  <c r="AD119" i="2"/>
  <c r="AC121" i="2"/>
  <c r="AD121" i="2"/>
  <c r="AC129" i="2"/>
  <c r="AD129" i="2"/>
  <c r="AC130" i="2"/>
  <c r="AD130" i="2"/>
  <c r="AC134" i="2"/>
  <c r="AD134" i="2"/>
  <c r="AC138" i="2"/>
  <c r="AD138" i="2"/>
  <c r="AC142" i="2"/>
  <c r="AD142" i="2"/>
  <c r="AC146" i="2"/>
  <c r="AD146" i="2"/>
  <c r="AC150" i="2"/>
  <c r="AD150" i="2"/>
  <c r="AC154" i="2"/>
  <c r="AD154" i="2"/>
  <c r="AC158" i="2"/>
  <c r="AD158" i="2"/>
  <c r="AC159" i="2"/>
  <c r="AD159" i="2"/>
  <c r="AC160" i="2"/>
  <c r="AD160" i="2"/>
  <c r="AD151" i="2"/>
  <c r="AC151" i="2"/>
  <c r="AC83" i="2"/>
  <c r="AD83" i="2"/>
  <c r="AC123" i="2"/>
  <c r="AD123" i="2"/>
  <c r="AC145" i="2"/>
  <c r="AD145" i="2"/>
  <c r="AC149" i="2"/>
  <c r="AD149" i="2"/>
  <c r="AC153" i="2"/>
  <c r="AD153" i="2"/>
  <c r="AC31" i="2"/>
  <c r="AD31" i="2"/>
  <c r="AC99" i="2"/>
  <c r="AD99" i="2"/>
  <c r="AC115" i="2"/>
  <c r="AD115" i="2"/>
  <c r="AC127" i="2"/>
  <c r="AD127" i="2"/>
  <c r="AD128" i="2"/>
  <c r="AC128" i="2"/>
  <c r="AC131" i="2"/>
  <c r="AD131" i="2"/>
  <c r="AD135" i="2"/>
  <c r="AC135" i="2"/>
  <c r="AC139" i="2"/>
  <c r="AD139" i="2"/>
  <c r="AD143" i="2"/>
  <c r="AC143" i="2"/>
  <c r="AC147" i="2"/>
  <c r="AD147" i="2"/>
  <c r="AD155" i="2"/>
  <c r="AC155" i="2"/>
  <c r="AC125" i="2"/>
  <c r="AD125" i="2"/>
  <c r="AC133" i="2"/>
  <c r="AD133" i="2"/>
  <c r="AC137" i="2"/>
  <c r="AD137" i="2"/>
  <c r="AC157" i="2"/>
  <c r="AD157" i="2"/>
  <c r="AC73" i="2"/>
  <c r="AD73" i="2"/>
  <c r="AC95" i="2"/>
  <c r="AD95" i="2"/>
  <c r="AC111" i="2"/>
  <c r="AD111" i="2"/>
  <c r="AD132" i="2"/>
  <c r="AC132" i="2"/>
  <c r="AD136" i="2"/>
  <c r="AC136" i="2"/>
  <c r="AD140" i="2"/>
  <c r="AC140" i="2"/>
  <c r="AD144" i="2"/>
  <c r="AC144" i="2"/>
  <c r="AD148" i="2"/>
  <c r="AC148" i="2"/>
  <c r="AD152" i="2"/>
  <c r="AC152" i="2"/>
  <c r="AD156" i="2"/>
  <c r="AC156" i="2"/>
  <c r="AC57" i="2"/>
  <c r="AD57" i="2"/>
  <c r="AC91" i="2"/>
  <c r="AD91" i="2"/>
  <c r="AC107" i="2"/>
  <c r="AD107" i="2"/>
  <c r="AC141" i="2"/>
  <c r="AD141" i="2"/>
</calcChain>
</file>

<file path=xl/sharedStrings.xml><?xml version="1.0" encoding="utf-8"?>
<sst xmlns="http://schemas.openxmlformats.org/spreadsheetml/2006/main" count="2528" uniqueCount="764">
  <si>
    <t>№</t>
  </si>
  <si>
    <t>Player</t>
  </si>
  <si>
    <t>Min</t>
  </si>
  <si>
    <t>G</t>
  </si>
  <si>
    <t>A</t>
  </si>
  <si>
    <t>xG</t>
  </si>
  <si>
    <t>NPxG</t>
  </si>
  <si>
    <t>xA</t>
  </si>
  <si>
    <t>xG90</t>
  </si>
  <si>
    <t>xA90</t>
  </si>
  <si>
    <t>David Silva</t>
  </si>
  <si>
    <t>Willian</t>
  </si>
  <si>
    <t>Fernandinho</t>
  </si>
  <si>
    <t>Richarlison</t>
  </si>
  <si>
    <t>Ki Sung-yueng</t>
  </si>
  <si>
    <t>Oriol Romeu</t>
  </si>
  <si>
    <t>Lewis Cook</t>
  </si>
  <si>
    <t>Lucas Moura</t>
  </si>
  <si>
    <t>Felipe Anderson</t>
  </si>
  <si>
    <t>Pedro</t>
  </si>
  <si>
    <t>Bernardo Silva</t>
  </si>
  <si>
    <t>David Luiz</t>
  </si>
  <si>
    <t>Jorginho</t>
  </si>
  <si>
    <t>Sokratis</t>
  </si>
  <si>
    <t>Steve Cook</t>
  </si>
  <si>
    <t>Adam Smith</t>
  </si>
  <si>
    <t>Jonny</t>
  </si>
  <si>
    <t>André Gomes</t>
  </si>
  <si>
    <t>Fabinho</t>
  </si>
  <si>
    <t>Kiko Femenía</t>
  </si>
  <si>
    <t>Bernard</t>
  </si>
  <si>
    <t>Alisson</t>
  </si>
  <si>
    <t>Kepa</t>
  </si>
  <si>
    <t>Ederson</t>
  </si>
  <si>
    <t>Team</t>
  </si>
  <si>
    <t>M</t>
  </si>
  <si>
    <t>W</t>
  </si>
  <si>
    <t>D</t>
  </si>
  <si>
    <t>L</t>
  </si>
  <si>
    <t>GA</t>
  </si>
  <si>
    <t>PTS</t>
  </si>
  <si>
    <t>xGA</t>
  </si>
  <si>
    <t>xPTS</t>
  </si>
  <si>
    <t>Manchester City</t>
  </si>
  <si>
    <t>Liverpool</t>
  </si>
  <si>
    <t>Chelsea</t>
  </si>
  <si>
    <t>Tottenham</t>
  </si>
  <si>
    <t>Arsenal</t>
  </si>
  <si>
    <t>Manchester United</t>
  </si>
  <si>
    <t>Wolverhampton Wanderers</t>
  </si>
  <si>
    <t>Everton</t>
  </si>
  <si>
    <t>Leicester</t>
  </si>
  <si>
    <t>West Ham</t>
  </si>
  <si>
    <t>Watford</t>
  </si>
  <si>
    <t>Crystal Palace</t>
  </si>
  <si>
    <t>Newcastle United</t>
  </si>
  <si>
    <t>Bournemouth</t>
  </si>
  <si>
    <t>Burnley</t>
  </si>
  <si>
    <t>Southampton</t>
  </si>
  <si>
    <t>Brighton</t>
  </si>
  <si>
    <t>Cardiff</t>
  </si>
  <si>
    <t>Fulham</t>
  </si>
  <si>
    <t>Huddersfield</t>
  </si>
  <si>
    <t>xGD</t>
  </si>
  <si>
    <t>G/M</t>
  </si>
  <si>
    <t>GA/M</t>
  </si>
  <si>
    <t>Position</t>
  </si>
  <si>
    <t>Gunn</t>
  </si>
  <si>
    <t>Valery</t>
  </si>
  <si>
    <t>DEF</t>
  </si>
  <si>
    <t>MID</t>
  </si>
  <si>
    <t>GK</t>
  </si>
  <si>
    <t>FWD</t>
  </si>
  <si>
    <t>Price</t>
  </si>
  <si>
    <t>ARS</t>
  </si>
  <si>
    <t>BOU</t>
  </si>
  <si>
    <t>BHA</t>
  </si>
  <si>
    <t>BUR</t>
  </si>
  <si>
    <t>CHE</t>
  </si>
  <si>
    <t>CRY</t>
  </si>
  <si>
    <t>EVE</t>
  </si>
  <si>
    <t>FUL</t>
  </si>
  <si>
    <t>LEI</t>
  </si>
  <si>
    <t>LIV</t>
  </si>
  <si>
    <t>MCI</t>
  </si>
  <si>
    <t>MUN</t>
  </si>
  <si>
    <t>NEW</t>
  </si>
  <si>
    <t>SOU</t>
  </si>
  <si>
    <t>TOT</t>
  </si>
  <si>
    <t>WAT</t>
  </si>
  <si>
    <t>WHU</t>
  </si>
  <si>
    <t>WOL</t>
  </si>
  <si>
    <t>Points</t>
  </si>
  <si>
    <t>Cost</t>
  </si>
  <si>
    <t>Man City</t>
  </si>
  <si>
    <t>Pickford</t>
  </si>
  <si>
    <t>de Gea</t>
  </si>
  <si>
    <t>Man Utd</t>
  </si>
  <si>
    <t>Lloris</t>
  </si>
  <si>
    <t>Spurs</t>
  </si>
  <si>
    <t>Leno</t>
  </si>
  <si>
    <t>Caballero</t>
  </si>
  <si>
    <t>Guaita</t>
  </si>
  <si>
    <t>Schmeichel</t>
  </si>
  <si>
    <t>Bravo</t>
  </si>
  <si>
    <t>Romero</t>
  </si>
  <si>
    <t>Grant</t>
  </si>
  <si>
    <t>Dubravka</t>
  </si>
  <si>
    <t>Newcastle</t>
  </si>
  <si>
    <t>Foster</t>
  </si>
  <si>
    <t>Fabianski</t>
  </si>
  <si>
    <t>Patrício</t>
  </si>
  <si>
    <t>Wolves</t>
  </si>
  <si>
    <t>Nyland</t>
  </si>
  <si>
    <t>Aston Villa</t>
  </si>
  <si>
    <t>Ryan</t>
  </si>
  <si>
    <t>Begovic</t>
  </si>
  <si>
    <t>Boruc</t>
  </si>
  <si>
    <t>Travers</t>
  </si>
  <si>
    <t>Pope</t>
  </si>
  <si>
    <t>Heaton</t>
  </si>
  <si>
    <t>Hart</t>
  </si>
  <si>
    <t>Hennessey</t>
  </si>
  <si>
    <t>Jakupovic</t>
  </si>
  <si>
    <t>Ward</t>
  </si>
  <si>
    <t>Mignolet</t>
  </si>
  <si>
    <t>Darlow</t>
  </si>
  <si>
    <t>Krul</t>
  </si>
  <si>
    <t>Norwich</t>
  </si>
  <si>
    <t>Eastwood</t>
  </si>
  <si>
    <t>Sheffield Utd</t>
  </si>
  <si>
    <t>Forster</t>
  </si>
  <si>
    <t>McCarthy</t>
  </si>
  <si>
    <t>Gazzaniga</t>
  </si>
  <si>
    <t>Dahlberg</t>
  </si>
  <si>
    <t>Ruddy</t>
  </si>
  <si>
    <t>Martínez</t>
  </si>
  <si>
    <t>Steer</t>
  </si>
  <si>
    <t>Moore</t>
  </si>
  <si>
    <t>Fahrmann</t>
  </si>
  <si>
    <t>Roberto</t>
  </si>
  <si>
    <t>Button</t>
  </si>
  <si>
    <t>Stekelenburg</t>
  </si>
  <si>
    <t>Woodman</t>
  </si>
  <si>
    <t>McGovern</t>
  </si>
  <si>
    <t>Norris</t>
  </si>
  <si>
    <t>Robertson</t>
  </si>
  <si>
    <t>Alexander-Arnold</t>
  </si>
  <si>
    <t>Alonso</t>
  </si>
  <si>
    <t>van Dijk</t>
  </si>
  <si>
    <t>Laporte</t>
  </si>
  <si>
    <t>Rüdiger</t>
  </si>
  <si>
    <t>Azpilicueta</t>
  </si>
  <si>
    <t>Digne</t>
  </si>
  <si>
    <t>Pereira</t>
  </si>
  <si>
    <t>Walker</t>
  </si>
  <si>
    <t>Mendy</t>
  </si>
  <si>
    <t>Doherty</t>
  </si>
  <si>
    <t>Mustafi</t>
  </si>
  <si>
    <t>Bellerín</t>
  </si>
  <si>
    <t>Kolasinac</t>
  </si>
  <si>
    <t>Emerson</t>
  </si>
  <si>
    <t>Wan-Bissaka</t>
  </si>
  <si>
    <t>van Aanholt</t>
  </si>
  <si>
    <t>Mina</t>
  </si>
  <si>
    <t>Keane</t>
  </si>
  <si>
    <t>Coleman</t>
  </si>
  <si>
    <t>Maguire</t>
  </si>
  <si>
    <t>Chilwell</t>
  </si>
  <si>
    <t>Gomez</t>
  </si>
  <si>
    <t>Matip</t>
  </si>
  <si>
    <t>Lovren</t>
  </si>
  <si>
    <t>Delph</t>
  </si>
  <si>
    <t>Zinchenko</t>
  </si>
  <si>
    <t>Stones</t>
  </si>
  <si>
    <t>Otamendi</t>
  </si>
  <si>
    <t>Smalling</t>
  </si>
  <si>
    <t>Young</t>
  </si>
  <si>
    <t>Lindelöf</t>
  </si>
  <si>
    <t>Shaw</t>
  </si>
  <si>
    <t>Ritchie</t>
  </si>
  <si>
    <t>Davies</t>
  </si>
  <si>
    <t>Vertonghen</t>
  </si>
  <si>
    <t>Alderweireld</t>
  </si>
  <si>
    <t>Rose</t>
  </si>
  <si>
    <t>Sánchez</t>
  </si>
  <si>
    <t>Trippier</t>
  </si>
  <si>
    <t>Maitland-Niles</t>
  </si>
  <si>
    <t>Monreal</t>
  </si>
  <si>
    <t>Koscielny</t>
  </si>
  <si>
    <t>Duffy</t>
  </si>
  <si>
    <t>Aké</t>
  </si>
  <si>
    <t>Mee</t>
  </si>
  <si>
    <t>Tarkowski</t>
  </si>
  <si>
    <t>Christensen</t>
  </si>
  <si>
    <t>Tomkins</t>
  </si>
  <si>
    <t>Sakho</t>
  </si>
  <si>
    <t>Baines</t>
  </si>
  <si>
    <t>Evans</t>
  </si>
  <si>
    <t>Danilo</t>
  </si>
  <si>
    <t>Rojo</t>
  </si>
  <si>
    <t>Bailly</t>
  </si>
  <si>
    <t>Dalot</t>
  </si>
  <si>
    <t>Darmian</t>
  </si>
  <si>
    <t>Jones</t>
  </si>
  <si>
    <t>Schär</t>
  </si>
  <si>
    <t>Stevens</t>
  </si>
  <si>
    <t>Vestergaard</t>
  </si>
  <si>
    <t>Bertrand</t>
  </si>
  <si>
    <t>Foyth</t>
  </si>
  <si>
    <t>Aurier</t>
  </si>
  <si>
    <t>Walker-Peters</t>
  </si>
  <si>
    <t>Holebas</t>
  </si>
  <si>
    <t>Cresswell</t>
  </si>
  <si>
    <t>Coady</t>
  </si>
  <si>
    <t>Bennett</t>
  </si>
  <si>
    <t>Boly</t>
  </si>
  <si>
    <t>Justin</t>
  </si>
  <si>
    <t>Dawson</t>
  </si>
  <si>
    <t>Angeliño</t>
  </si>
  <si>
    <t>Zouma</t>
  </si>
  <si>
    <t>Mavropanos</t>
  </si>
  <si>
    <t>Jenkinson</t>
  </si>
  <si>
    <t>Holding</t>
  </si>
  <si>
    <t>El Mohamady</t>
  </si>
  <si>
    <t>Chester</t>
  </si>
  <si>
    <t>Taylor</t>
  </si>
  <si>
    <t>Hause</t>
  </si>
  <si>
    <t>Montoya</t>
  </si>
  <si>
    <t>Bernardo</t>
  </si>
  <si>
    <t>Balogun</t>
  </si>
  <si>
    <t>Bong</t>
  </si>
  <si>
    <t>Dunk</t>
  </si>
  <si>
    <t>Clarke</t>
  </si>
  <si>
    <t>Daniels</t>
  </si>
  <si>
    <t>Mepham</t>
  </si>
  <si>
    <t>Francis</t>
  </si>
  <si>
    <t>Kelly</t>
  </si>
  <si>
    <t>Lowton</t>
  </si>
  <si>
    <t>Bardsley</t>
  </si>
  <si>
    <t>Long</t>
  </si>
  <si>
    <t>Zappacosta</t>
  </si>
  <si>
    <t>Dann</t>
  </si>
  <si>
    <t>Fuchs</t>
  </si>
  <si>
    <t>Söyüncü</t>
  </si>
  <si>
    <t>Morgan</t>
  </si>
  <si>
    <t>Yedlin</t>
  </si>
  <si>
    <t>Fernández</t>
  </si>
  <si>
    <t>Dummett</t>
  </si>
  <si>
    <t>Manquillo</t>
  </si>
  <si>
    <t>Lejeune</t>
  </si>
  <si>
    <t>Lascelles</t>
  </si>
  <si>
    <t>Clark</t>
  </si>
  <si>
    <t>Klose</t>
  </si>
  <si>
    <t>Godfrey</t>
  </si>
  <si>
    <t>Aarons</t>
  </si>
  <si>
    <t>Zimmermann</t>
  </si>
  <si>
    <t>Lewis</t>
  </si>
  <si>
    <t>Freeman</t>
  </si>
  <si>
    <t>O'Connell</t>
  </si>
  <si>
    <t>Baldock</t>
  </si>
  <si>
    <t>Egan</t>
  </si>
  <si>
    <t>Bednarek</t>
  </si>
  <si>
    <t>Stephens</t>
  </si>
  <si>
    <t>Targett</t>
  </si>
  <si>
    <t>Yoshida</t>
  </si>
  <si>
    <t>Kabasele</t>
  </si>
  <si>
    <t>Masina</t>
  </si>
  <si>
    <t>Mariappa</t>
  </si>
  <si>
    <t>Cathcart</t>
  </si>
  <si>
    <t>Janmaat</t>
  </si>
  <si>
    <t>Ogbonna</t>
  </si>
  <si>
    <t>Masuaku</t>
  </si>
  <si>
    <t>Zabaleta</t>
  </si>
  <si>
    <t>Fredericks</t>
  </si>
  <si>
    <t>Diop</t>
  </si>
  <si>
    <t>Balbuena</t>
  </si>
  <si>
    <t>Vinagre</t>
  </si>
  <si>
    <t>Saïss</t>
  </si>
  <si>
    <t>Basham</t>
  </si>
  <si>
    <t>Jagielka</t>
  </si>
  <si>
    <t>Mings</t>
  </si>
  <si>
    <t>Stacey</t>
  </si>
  <si>
    <t>Pieters</t>
  </si>
  <si>
    <t>Konsa</t>
  </si>
  <si>
    <t>Byram</t>
  </si>
  <si>
    <t>Engels</t>
  </si>
  <si>
    <t>Guilbert</t>
  </si>
  <si>
    <t>Rico</t>
  </si>
  <si>
    <t>Simpson</t>
  </si>
  <si>
    <t>Gibson</t>
  </si>
  <si>
    <t>Hanley</t>
  </si>
  <si>
    <t>Stearman</t>
  </si>
  <si>
    <t>Lundstram</t>
  </si>
  <si>
    <t>Ramsay</t>
  </si>
  <si>
    <t>Navarro</t>
  </si>
  <si>
    <t>Prödl</t>
  </si>
  <si>
    <t>Reid</t>
  </si>
  <si>
    <t>Johnson</t>
  </si>
  <si>
    <t>Kilman</t>
  </si>
  <si>
    <t>Salah</t>
  </si>
  <si>
    <t>Sterling</t>
  </si>
  <si>
    <t>Mané</t>
  </si>
  <si>
    <t>De Bruyne</t>
  </si>
  <si>
    <t>Sané</t>
  </si>
  <si>
    <t>Son</t>
  </si>
  <si>
    <t>Eriksen</t>
  </si>
  <si>
    <t>Mahrez</t>
  </si>
  <si>
    <t>Pogba</t>
  </si>
  <si>
    <t>Alli</t>
  </si>
  <si>
    <t>Sigurdsson</t>
  </si>
  <si>
    <t>Özil</t>
  </si>
  <si>
    <t>Fraser</t>
  </si>
  <si>
    <t>Martial</t>
  </si>
  <si>
    <t>Pulisic</t>
  </si>
  <si>
    <t>Mkhitaryan</t>
  </si>
  <si>
    <t>Zaha</t>
  </si>
  <si>
    <t>Milivojevic</t>
  </si>
  <si>
    <t>Maddison</t>
  </si>
  <si>
    <t>Antonio</t>
  </si>
  <si>
    <t>Groß</t>
  </si>
  <si>
    <t>Brooks</t>
  </si>
  <si>
    <t>Loftus-Cheek</t>
  </si>
  <si>
    <t>Walcott</t>
  </si>
  <si>
    <t>Chamberlain</t>
  </si>
  <si>
    <t>Shaqiri</t>
  </si>
  <si>
    <t>Lingard</t>
  </si>
  <si>
    <t>Mata</t>
  </si>
  <si>
    <t>Pérez</t>
  </si>
  <si>
    <t>Vrancic</t>
  </si>
  <si>
    <t>Redmond</t>
  </si>
  <si>
    <t>Lanzini</t>
  </si>
  <si>
    <t>Fornals</t>
  </si>
  <si>
    <t>Tielemans</t>
  </si>
  <si>
    <t>Iwobi</t>
  </si>
  <si>
    <t>Hourihane</t>
  </si>
  <si>
    <t>Grealish</t>
  </si>
  <si>
    <t>Jota</t>
  </si>
  <si>
    <t>Jahanbakhsh</t>
  </si>
  <si>
    <t>Stanislas</t>
  </si>
  <si>
    <t>Gudmundsson</t>
  </si>
  <si>
    <t>McNeil</t>
  </si>
  <si>
    <t>Hudson-Odoi</t>
  </si>
  <si>
    <t>Barkley</t>
  </si>
  <si>
    <t>Townsend</t>
  </si>
  <si>
    <t>Barnes</t>
  </si>
  <si>
    <t>Lallana</t>
  </si>
  <si>
    <t>Keita</t>
  </si>
  <si>
    <t>James</t>
  </si>
  <si>
    <t>Almirón</t>
  </si>
  <si>
    <t>Buendía</t>
  </si>
  <si>
    <t>Ward-Prowse</t>
  </si>
  <si>
    <t>Lamela</t>
  </si>
  <si>
    <t>Doucouré</t>
  </si>
  <si>
    <t>Pereyra</t>
  </si>
  <si>
    <t>Yarmolenko</t>
  </si>
  <si>
    <t>Trossard</t>
  </si>
  <si>
    <t>Ndombele</t>
  </si>
  <si>
    <t>Mount</t>
  </si>
  <si>
    <t>Xhaka</t>
  </si>
  <si>
    <t>El Ghazi</t>
  </si>
  <si>
    <t>McGinn</t>
  </si>
  <si>
    <t>Izquierdo</t>
  </si>
  <si>
    <t>Knockaert</t>
  </si>
  <si>
    <t>Brady</t>
  </si>
  <si>
    <t>Defour</t>
  </si>
  <si>
    <t>Hendrick</t>
  </si>
  <si>
    <t>Westwood</t>
  </si>
  <si>
    <t>Meyer</t>
  </si>
  <si>
    <t>Schlupp</t>
  </si>
  <si>
    <t>McArthur</t>
  </si>
  <si>
    <t>Ghezzal</t>
  </si>
  <si>
    <t>Albrighton</t>
  </si>
  <si>
    <t>Gray</t>
  </si>
  <si>
    <t>Henderson</t>
  </si>
  <si>
    <t>Wijnaldum</t>
  </si>
  <si>
    <t>Milner</t>
  </si>
  <si>
    <t>Foden</t>
  </si>
  <si>
    <t>Gündogan</t>
  </si>
  <si>
    <t>Fred</t>
  </si>
  <si>
    <t>Atsu</t>
  </si>
  <si>
    <t>Hernández</t>
  </si>
  <si>
    <t>Stiepermann</t>
  </si>
  <si>
    <t>Elyounoussi</t>
  </si>
  <si>
    <t>Armstrong</t>
  </si>
  <si>
    <t>Winks</t>
  </si>
  <si>
    <t>Hughes</t>
  </si>
  <si>
    <t>Snodgrass</t>
  </si>
  <si>
    <t>Neves</t>
  </si>
  <si>
    <t>Moutinho</t>
  </si>
  <si>
    <t>Kovacic</t>
  </si>
  <si>
    <t>Roberts</t>
  </si>
  <si>
    <t>Djenepo</t>
  </si>
  <si>
    <t>Rodrigo</t>
  </si>
  <si>
    <t>Robinson</t>
  </si>
  <si>
    <t>Kenedy</t>
  </si>
  <si>
    <t>Torreira</t>
  </si>
  <si>
    <t>Green</t>
  </si>
  <si>
    <t>Bissouma</t>
  </si>
  <si>
    <t>Pröpper</t>
  </si>
  <si>
    <t>March</t>
  </si>
  <si>
    <t>Ibe</t>
  </si>
  <si>
    <t>Surman</t>
  </si>
  <si>
    <t>Gosling</t>
  </si>
  <si>
    <t>Lerma</t>
  </si>
  <si>
    <t>Cork</t>
  </si>
  <si>
    <t>Kanté</t>
  </si>
  <si>
    <t>Kouyaté</t>
  </si>
  <si>
    <t>Lookman</t>
  </si>
  <si>
    <t>Gueye</t>
  </si>
  <si>
    <t>Ndidi</t>
  </si>
  <si>
    <t>Gomes</t>
  </si>
  <si>
    <t>Matic</t>
  </si>
  <si>
    <t>McTominay</t>
  </si>
  <si>
    <t>Shelvey</t>
  </si>
  <si>
    <t>Longstaff</t>
  </si>
  <si>
    <t>McLean</t>
  </si>
  <si>
    <t>Fleck</t>
  </si>
  <si>
    <t>Norwood</t>
  </si>
  <si>
    <t>Lemina</t>
  </si>
  <si>
    <t>Højbjerg</t>
  </si>
  <si>
    <t>Wanyama</t>
  </si>
  <si>
    <t>Sissoko</t>
  </si>
  <si>
    <t>Dier</t>
  </si>
  <si>
    <t>Cleverley</t>
  </si>
  <si>
    <t>Sema</t>
  </si>
  <si>
    <t>Capoue</t>
  </si>
  <si>
    <t>Wilshere</t>
  </si>
  <si>
    <t>Rice</t>
  </si>
  <si>
    <t>Noble</t>
  </si>
  <si>
    <t>Gibbs-White</t>
  </si>
  <si>
    <t>Traoré</t>
  </si>
  <si>
    <t>Costa</t>
  </si>
  <si>
    <t>Cavaleiro</t>
  </si>
  <si>
    <t>Lennon</t>
  </si>
  <si>
    <t>Morrison</t>
  </si>
  <si>
    <t>Elneny</t>
  </si>
  <si>
    <t>Guendouzi</t>
  </si>
  <si>
    <t>Bjarnason</t>
  </si>
  <si>
    <t>Davis</t>
  </si>
  <si>
    <t>Lansbury</t>
  </si>
  <si>
    <t>Kayal</t>
  </si>
  <si>
    <t>Drinkwater</t>
  </si>
  <si>
    <t>Ampadu</t>
  </si>
  <si>
    <t>Dreher</t>
  </si>
  <si>
    <t>Schneiderlin</t>
  </si>
  <si>
    <t>Amartey</t>
  </si>
  <si>
    <t>Choudhury</t>
  </si>
  <si>
    <t>Camacho</t>
  </si>
  <si>
    <t>Chong</t>
  </si>
  <si>
    <t>Garner</t>
  </si>
  <si>
    <t>Hayden</t>
  </si>
  <si>
    <t>Cantwell</t>
  </si>
  <si>
    <t>Leitner</t>
  </si>
  <si>
    <t>Tettey</t>
  </si>
  <si>
    <t>Trybull</t>
  </si>
  <si>
    <t>Slattery</t>
  </si>
  <si>
    <t>Amos</t>
  </si>
  <si>
    <t>Skipp</t>
  </si>
  <si>
    <t>Chalobah</t>
  </si>
  <si>
    <t>Quina</t>
  </si>
  <si>
    <t>Carlos Sánchez</t>
  </si>
  <si>
    <t>Diangana</t>
  </si>
  <si>
    <t>Obiang</t>
  </si>
  <si>
    <t>Dendoncker</t>
  </si>
  <si>
    <t>Agüero</t>
  </si>
  <si>
    <t>Aubameyang</t>
  </si>
  <si>
    <t>Kane</t>
  </si>
  <si>
    <t>Lacazette</t>
  </si>
  <si>
    <t>Firmino</t>
  </si>
  <si>
    <t>Jesus</t>
  </si>
  <si>
    <t>Vardy</t>
  </si>
  <si>
    <t>Lukaku</t>
  </si>
  <si>
    <t>Rashford</t>
  </si>
  <si>
    <t>Wilson</t>
  </si>
  <si>
    <t>Jiménez</t>
  </si>
  <si>
    <t>Haller</t>
  </si>
  <si>
    <t>Giroud</t>
  </si>
  <si>
    <t>Arnautovic</t>
  </si>
  <si>
    <t>Abraham</t>
  </si>
  <si>
    <t>Batshuayi</t>
  </si>
  <si>
    <t>King</t>
  </si>
  <si>
    <t>Wood</t>
  </si>
  <si>
    <t>Pukki</t>
  </si>
  <si>
    <t>Deeney</t>
  </si>
  <si>
    <t>Deulofeu</t>
  </si>
  <si>
    <t>Murray</t>
  </si>
  <si>
    <t>Benteke</t>
  </si>
  <si>
    <t>Tosun</t>
  </si>
  <si>
    <t>Calvert-Lewin</t>
  </si>
  <si>
    <t>Iheanacho</t>
  </si>
  <si>
    <t>Sharp</t>
  </si>
  <si>
    <t>Austin</t>
  </si>
  <si>
    <t>Ings</t>
  </si>
  <si>
    <t>Chicharito</t>
  </si>
  <si>
    <t>Wesley</t>
  </si>
  <si>
    <t>Adams</t>
  </si>
  <si>
    <t>Rodriguez</t>
  </si>
  <si>
    <t>Kodjia</t>
  </si>
  <si>
    <t>Locadia</t>
  </si>
  <si>
    <t>Solanke</t>
  </si>
  <si>
    <t>Vydra</t>
  </si>
  <si>
    <t>Origi</t>
  </si>
  <si>
    <t>Muto</t>
  </si>
  <si>
    <t>Srbeny</t>
  </si>
  <si>
    <t>McGoldrick</t>
  </si>
  <si>
    <t>Drmic</t>
  </si>
  <si>
    <t>Andone</t>
  </si>
  <si>
    <t>Mousset</t>
  </si>
  <si>
    <t>Joselu</t>
  </si>
  <si>
    <t>Obafemi</t>
  </si>
  <si>
    <t>Success</t>
  </si>
  <si>
    <t>Nketiah</t>
  </si>
  <si>
    <t>Surridge</t>
  </si>
  <si>
    <t>Wickham</t>
  </si>
  <si>
    <t>Greenwood</t>
  </si>
  <si>
    <t>Gallagher</t>
  </si>
  <si>
    <t>Janssen</t>
  </si>
  <si>
    <t>Xande Silva</t>
  </si>
  <si>
    <t>Brewster</t>
  </si>
  <si>
    <t xml:space="preserve"> </t>
  </si>
  <si>
    <t>Last</t>
  </si>
  <si>
    <t>Granit</t>
  </si>
  <si>
    <t>Alex</t>
  </si>
  <si>
    <t>Lucas</t>
  </si>
  <si>
    <t>Matteo</t>
  </si>
  <si>
    <t>Bernd</t>
  </si>
  <si>
    <t>Pierre-Emerick</t>
  </si>
  <si>
    <t>Alexandre</t>
  </si>
  <si>
    <t>Calum</t>
  </si>
  <si>
    <t>Chambers</t>
  </si>
  <si>
    <t>Shkodran</t>
  </si>
  <si>
    <t>David</t>
  </si>
  <si>
    <t>Steve</t>
  </si>
  <si>
    <t>Cook</t>
  </si>
  <si>
    <t>Callum</t>
  </si>
  <si>
    <t>Joshua</t>
  </si>
  <si>
    <t>Adam</t>
  </si>
  <si>
    <t>Smith</t>
  </si>
  <si>
    <t>Pascal</t>
  </si>
  <si>
    <t>Anthony</t>
  </si>
  <si>
    <t>Solly</t>
  </si>
  <si>
    <t>Davy</t>
  </si>
  <si>
    <t>Yves</t>
  </si>
  <si>
    <t>Mat</t>
  </si>
  <si>
    <t>Glenn</t>
  </si>
  <si>
    <t>Shane</t>
  </si>
  <si>
    <t>Martín</t>
  </si>
  <si>
    <t>Dale</t>
  </si>
  <si>
    <t>Jeff</t>
  </si>
  <si>
    <t>Ashley</t>
  </si>
  <si>
    <t>Chris</t>
  </si>
  <si>
    <t>Ben</t>
  </si>
  <si>
    <t>Jack</t>
  </si>
  <si>
    <t>Charlie</t>
  </si>
  <si>
    <t>N'Golo</t>
  </si>
  <si>
    <t>Mateo</t>
  </si>
  <si>
    <t>Nathan</t>
  </si>
  <si>
    <t>Luiz</t>
  </si>
  <si>
    <t>Kurt</t>
  </si>
  <si>
    <t>Marcos</t>
  </si>
  <si>
    <t>César</t>
  </si>
  <si>
    <t>Luka</t>
  </si>
  <si>
    <t>Wilfried</t>
  </si>
  <si>
    <t>Andros</t>
  </si>
  <si>
    <t>Patrick</t>
  </si>
  <si>
    <t>Mamadou</t>
  </si>
  <si>
    <t>Gylfi</t>
  </si>
  <si>
    <t>Theo</t>
  </si>
  <si>
    <t>André</t>
  </si>
  <si>
    <t>Idrissa</t>
  </si>
  <si>
    <t>Jordan</t>
  </si>
  <si>
    <t>Dominic</t>
  </si>
  <si>
    <t>Seamus</t>
  </si>
  <si>
    <t>Michael</t>
  </si>
  <si>
    <t>Tom</t>
  </si>
  <si>
    <t>Cairney</t>
  </si>
  <si>
    <t>Sessegnon</t>
  </si>
  <si>
    <t>Demarai</t>
  </si>
  <si>
    <t>Wilfred</t>
  </si>
  <si>
    <t>Nampalys</t>
  </si>
  <si>
    <t>Kasper</t>
  </si>
  <si>
    <t>Jamie</t>
  </si>
  <si>
    <t>Ayoze</t>
  </si>
  <si>
    <t>Harry</t>
  </si>
  <si>
    <t>Ricardo</t>
  </si>
  <si>
    <t>Sadio</t>
  </si>
  <si>
    <t>Mohamed</t>
  </si>
  <si>
    <t>Georginio</t>
  </si>
  <si>
    <t>Virgil</t>
  </si>
  <si>
    <t>Trent</t>
  </si>
  <si>
    <t>Andrew</t>
  </si>
  <si>
    <t>Raheem</t>
  </si>
  <si>
    <t>Leroy</t>
  </si>
  <si>
    <t>Silva</t>
  </si>
  <si>
    <t>Ilkay</t>
  </si>
  <si>
    <t>Sergio</t>
  </si>
  <si>
    <t>Aymeric</t>
  </si>
  <si>
    <t>Kyle</t>
  </si>
  <si>
    <t>Paul</t>
  </si>
  <si>
    <t>Nemanja</t>
  </si>
  <si>
    <t>Romelu</t>
  </si>
  <si>
    <t>Marcus</t>
  </si>
  <si>
    <t>Luke</t>
  </si>
  <si>
    <t>Victor</t>
  </si>
  <si>
    <t>Aaron</t>
  </si>
  <si>
    <t>Isaac</t>
  </si>
  <si>
    <t>Martin</t>
  </si>
  <si>
    <t>Matt</t>
  </si>
  <si>
    <t>DeAndre</t>
  </si>
  <si>
    <t>Jamaal</t>
  </si>
  <si>
    <t>Pierre-Emile</t>
  </si>
  <si>
    <t>Jefferson</t>
  </si>
  <si>
    <t>Oriol</t>
  </si>
  <si>
    <t>Romeu</t>
  </si>
  <si>
    <t>Jan</t>
  </si>
  <si>
    <t>Heung-Min</t>
  </si>
  <si>
    <t>Moura</t>
  </si>
  <si>
    <t>Christian</t>
  </si>
  <si>
    <t>Dele</t>
  </si>
  <si>
    <t>Moussa</t>
  </si>
  <si>
    <t>Hugo</t>
  </si>
  <si>
    <t>Toby</t>
  </si>
  <si>
    <t>Danny</t>
  </si>
  <si>
    <t>Gerard</t>
  </si>
  <si>
    <t>Will</t>
  </si>
  <si>
    <t>Etienne</t>
  </si>
  <si>
    <t>Troy</t>
  </si>
  <si>
    <t>José</t>
  </si>
  <si>
    <t>Craig</t>
  </si>
  <si>
    <t>Adrian</t>
  </si>
  <si>
    <t>Abdoulaye</t>
  </si>
  <si>
    <t>Kiko</t>
  </si>
  <si>
    <t>Femenía</t>
  </si>
  <si>
    <t>Felipe</t>
  </si>
  <si>
    <t>Anderson</t>
  </si>
  <si>
    <t>Michail</t>
  </si>
  <si>
    <t>Mark</t>
  </si>
  <si>
    <t>Declan</t>
  </si>
  <si>
    <t>Robert</t>
  </si>
  <si>
    <t>Lukasz</t>
  </si>
  <si>
    <t>Issa</t>
  </si>
  <si>
    <t>Pablo</t>
  </si>
  <si>
    <t>Rúben</t>
  </si>
  <si>
    <t>João</t>
  </si>
  <si>
    <t>Rui</t>
  </si>
  <si>
    <t>Raúl</t>
  </si>
  <si>
    <t>Diogo</t>
  </si>
  <si>
    <t>Willy</t>
  </si>
  <si>
    <t>Conor</t>
  </si>
  <si>
    <t>Min/App</t>
  </si>
  <si>
    <t>xPts</t>
  </si>
  <si>
    <t>CS</t>
  </si>
  <si>
    <t>xCS</t>
  </si>
  <si>
    <t>xYC</t>
  </si>
  <si>
    <t>YC</t>
  </si>
  <si>
    <t>ABB</t>
  </si>
  <si>
    <t>CAR</t>
  </si>
  <si>
    <t>HUD</t>
  </si>
  <si>
    <t>Diff</t>
  </si>
  <si>
    <t>Weight</t>
  </si>
  <si>
    <t>xApp</t>
  </si>
  <si>
    <t>App</t>
  </si>
  <si>
    <t>xMin/App</t>
  </si>
  <si>
    <t>PPP</t>
  </si>
  <si>
    <t>VVD</t>
  </si>
  <si>
    <t>Lap</t>
  </si>
  <si>
    <t>Rob</t>
  </si>
  <si>
    <t>Azp</t>
  </si>
  <si>
    <t>Walk</t>
  </si>
  <si>
    <t>TAA</t>
  </si>
  <si>
    <t>Doh</t>
  </si>
  <si>
    <t>MCY</t>
  </si>
  <si>
    <t>CPA</t>
  </si>
  <si>
    <t>CPA*</t>
  </si>
  <si>
    <t>NEW**</t>
  </si>
  <si>
    <t>Gündoğan</t>
  </si>
  <si>
    <t xml:space="preserve">Name </t>
  </si>
  <si>
    <t>Pos</t>
  </si>
  <si>
    <t>BP</t>
  </si>
  <si>
    <t>BP/App</t>
  </si>
  <si>
    <t>xBP/App</t>
  </si>
  <si>
    <t>Ed</t>
  </si>
  <si>
    <t>Llor</t>
  </si>
  <si>
    <t>Ali</t>
  </si>
  <si>
    <t>Fab</t>
  </si>
  <si>
    <t>Pick</t>
  </si>
  <si>
    <t>VAA</t>
  </si>
  <si>
    <t>Per</t>
  </si>
  <si>
    <t>Wan-Bis</t>
  </si>
  <si>
    <t>Pog</t>
  </si>
  <si>
    <t>Sig</t>
  </si>
  <si>
    <t>Fras</t>
  </si>
  <si>
    <t>Mili</t>
  </si>
  <si>
    <t>Perez</t>
  </si>
  <si>
    <t>Ster</t>
  </si>
  <si>
    <t>Douc</t>
  </si>
  <si>
    <t>Mane</t>
  </si>
  <si>
    <t>Rich</t>
  </si>
  <si>
    <t>Mad</t>
  </si>
  <si>
    <t>Wils</t>
  </si>
  <si>
    <t>Jimen</t>
  </si>
  <si>
    <t>PEA</t>
  </si>
  <si>
    <t>Mur</t>
  </si>
  <si>
    <t>Firm</t>
  </si>
  <si>
    <t>Agu</t>
  </si>
  <si>
    <t>PPG</t>
  </si>
  <si>
    <t>PPG/$</t>
  </si>
  <si>
    <t>Adj PPG/$</t>
  </si>
  <si>
    <t>YC Proportion</t>
  </si>
  <si>
    <t xml:space="preserve">Harrison Patzelt </t>
  </si>
  <si>
    <t xml:space="preserve">D. E. Shaw Group Application </t>
  </si>
  <si>
    <r>
      <t>Fantasy Premier League Summary:</t>
    </r>
    <r>
      <rPr>
        <i/>
        <sz val="11"/>
        <color theme="1"/>
        <rFont val="Cambria"/>
        <family val="1"/>
      </rPr>
      <t xml:space="preserve"> https://twitter.com/OfficialFPL/status/1158327285629497346</t>
    </r>
  </si>
  <si>
    <r>
      <t>Scoring system under 'Scoring' tab:</t>
    </r>
    <r>
      <rPr>
        <i/>
        <sz val="11"/>
        <color theme="1"/>
        <rFont val="Cambria"/>
        <family val="1"/>
      </rPr>
      <t xml:space="preserve"> https://fantasy.premierleague.com/help/rules</t>
    </r>
  </si>
  <si>
    <r>
      <t xml:space="preserve">Official FPL Site: </t>
    </r>
    <r>
      <rPr>
        <i/>
        <sz val="11"/>
        <color theme="1"/>
        <rFont val="Cambria"/>
        <family val="1"/>
      </rPr>
      <t>https://fantasy.premierleague.com/</t>
    </r>
  </si>
  <si>
    <r>
      <t xml:space="preserve">My Team: </t>
    </r>
    <r>
      <rPr>
        <i/>
        <sz val="11"/>
        <color theme="1"/>
        <rFont val="Cambria"/>
        <family val="1"/>
      </rPr>
      <t>https://fantasy.premierleague.com/entry/772011/event/5</t>
    </r>
  </si>
  <si>
    <r>
      <t xml:space="preserve">Site used to gather specific data: </t>
    </r>
    <r>
      <rPr>
        <i/>
        <sz val="11"/>
        <color theme="1"/>
        <rFont val="Cambria"/>
        <family val="1"/>
      </rPr>
      <t>https://understat.com/league/EPL</t>
    </r>
  </si>
  <si>
    <t>Overview</t>
  </si>
  <si>
    <t>Reletant Sites</t>
  </si>
  <si>
    <t>xData Player 18-19</t>
  </si>
  <si>
    <t>Glossary of Terms</t>
  </si>
  <si>
    <t>Label</t>
  </si>
  <si>
    <t>Tab</t>
  </si>
  <si>
    <t>Description</t>
  </si>
  <si>
    <t>18/19 goals</t>
  </si>
  <si>
    <t>18/19 assists</t>
  </si>
  <si>
    <t>18/19 bonus points</t>
  </si>
  <si>
    <t>Expected 19/20 mintues played per appearance</t>
  </si>
  <si>
    <t>Expected 19/20 appearances</t>
  </si>
  <si>
    <t>Expected 18/19 goals (formula from understat.com)</t>
  </si>
  <si>
    <t>Expected 18/19 assists (understat)</t>
  </si>
  <si>
    <t>Expected 18/19 non-penalty goals (understat)</t>
  </si>
  <si>
    <t>Expected 18/19 goals per 90 minutes played</t>
  </si>
  <si>
    <t>Expected 18/19 assists per 90 minutes played</t>
  </si>
  <si>
    <t>Expected 19/20 clean sheets</t>
  </si>
  <si>
    <t>19/20 player price</t>
  </si>
  <si>
    <t>18/19 player points</t>
  </si>
  <si>
    <t>xPts - Points</t>
  </si>
  <si>
    <t>PPG / Price</t>
  </si>
  <si>
    <t>xPts / Price</t>
  </si>
  <si>
    <t>xPts / 38 (xPts per gameweek)</t>
  </si>
  <si>
    <t>Expected 19/20 player points (formula in VB code)</t>
  </si>
  <si>
    <t>Expected 19/20 yellow cards (formula in VB code)</t>
  </si>
  <si>
    <t>Expected 19/20 bonus points per appearance (forumla in VB code)</t>
  </si>
  <si>
    <t>Bonus Points</t>
  </si>
  <si>
    <t>xData Team 18-19</t>
  </si>
  <si>
    <t>Matches</t>
  </si>
  <si>
    <t>18/19 goals allowed</t>
  </si>
  <si>
    <t>18/19 loses</t>
  </si>
  <si>
    <t>18/19 draws</t>
  </si>
  <si>
    <t>18/19 wins</t>
  </si>
  <si>
    <t>18/19 points</t>
  </si>
  <si>
    <t>18/19 clean sheets</t>
  </si>
  <si>
    <t>18/19 yellow cards</t>
  </si>
  <si>
    <t>Expected 18/19 goals (understat)</t>
  </si>
  <si>
    <t>Expected 18/19 goal difference (understat)</t>
  </si>
  <si>
    <t>Expected 18/19 points (understat)</t>
  </si>
  <si>
    <t>Expected 18/19 clean sheets (understat)</t>
  </si>
  <si>
    <t>18/19 goals per match</t>
  </si>
  <si>
    <t>18/19 goals allowed per match</t>
  </si>
  <si>
    <t>Scrap</t>
  </si>
  <si>
    <t xml:space="preserve">The sheets in this file were created in July 2019 and used to help analyze data of English Premier League (EPL) soccer players ahead of the 2019/20 Fantasy Premier League (FPL) season. Over the 38 gameweeks of the English PL season, players in the English PL are given a score in Fantasy PL each week based on their real-life performances. The goal of Fantasy PL is to select a team of 15 players, under budgeted constraints, that will yeild the highest amount of cumative points by the end of the 38th gameweek. In these spreadsheets, I attempted to predict the point totals that would be earned by players for the upcoming 19/20 FPL season. This was done by attempting to predict individual statistics and determining players' overall point totals based on the scoring system defined by the FPL. This project gave me the opportunity to explore different methods to predit specific statistics, develope my knowledge of VBA, and making decisions between numeric results and intuition. As of the 5th gameweek, my team is placed first within my league of 8 friends and in the 23nd percentile among all 6.5M FPL players. Although ambitious, my goal is to finish within the 5th percentile of all players at the end of the season.  </t>
  </si>
  <si>
    <t xml:space="preserve">(PPG - 2) / Price </t>
  </si>
  <si>
    <t>Shortlist of players for final team (grouped by position &amp; Adj PPG/$)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</si>
</sst>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 ;\-#,##0.0\ "/>
  </numFmts>
  <fonts count="7" x14ac:knownFonts="1">
    <font>
      <sz val="11"/>
      <color theme="1"/>
      <name val="Calibri"/>
      <family val="2"/>
      <scheme val="minor"/>
    </font>
    <font>
      <sz val="10"/>
      <color theme="1"/>
      <name val="Arial"/>
      <family val="2"/>
    </font>
    <font>
      <sz val="11"/>
      <color theme="1"/>
      <name val="Cambria"/>
      <family val="1"/>
    </font>
    <font>
      <b/>
      <sz val="11"/>
      <color theme="1"/>
      <name val="Cambria"/>
      <family val="1"/>
    </font>
    <font>
      <i/>
      <sz val="11"/>
      <color theme="1"/>
      <name val="Cambria"/>
      <family val="1"/>
    </font>
    <font>
      <sz val="8"/>
      <name val="Calibri"/>
      <family val="2"/>
      <scheme val="minor"/>
    </font>
    <font>
      <u/>
      <sz val="11"/>
      <color theme="1"/>
      <name val="Cambria"/>
      <family val="1"/>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0" fontId="0" fillId="0" borderId="0" xfId="0" applyNumberFormat="1"/>
    <xf numFmtId="2" fontId="0" fillId="0" borderId="0" xfId="0" applyNumberFormat="1"/>
    <xf numFmtId="164" fontId="0" fillId="0" borderId="0" xfId="0" applyNumberFormat="1"/>
    <xf numFmtId="0" fontId="0" fillId="0" borderId="0" xfId="0" applyAlignment="1">
      <alignment horizontal="right"/>
    </xf>
    <xf numFmtId="0" fontId="0" fillId="0" borderId="0" xfId="0" applyBorder="1"/>
    <xf numFmtId="165" fontId="0" fillId="0" borderId="0" xfId="0" applyNumberFormat="1"/>
    <xf numFmtId="1" fontId="0" fillId="0" borderId="0" xfId="0" applyNumberFormat="1"/>
    <xf numFmtId="166" fontId="1" fillId="0" borderId="0" xfId="0" applyNumberFormat="1" applyFont="1"/>
    <xf numFmtId="166" fontId="1" fillId="0" borderId="0" xfId="0" applyNumberFormat="1" applyFont="1" applyBorder="1"/>
    <xf numFmtId="0" fontId="2" fillId="0" borderId="0" xfId="0" applyFont="1"/>
    <xf numFmtId="0" fontId="3" fillId="0" borderId="0" xfId="0" applyFont="1"/>
    <xf numFmtId="0" fontId="6" fillId="0" borderId="0" xfId="0" applyFont="1"/>
    <xf numFmtId="0" fontId="2" fillId="0" borderId="0" xfId="0" applyFont="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2531C-8E6E-4B13-820D-4EB1695AE443}">
  <sheetPr codeName="Sheet1"/>
  <dimension ref="B2:J54"/>
  <sheetViews>
    <sheetView showGridLines="0" tabSelected="1" topLeftCell="A42" zoomScale="85" zoomScaleNormal="85" workbookViewId="0">
      <selection activeCell="D55" sqref="D55"/>
    </sheetView>
  </sheetViews>
  <sheetFormatPr defaultRowHeight="14" x14ac:dyDescent="0.3"/>
  <cols>
    <col min="1" max="1" width="8.7265625" style="10"/>
    <col min="2" max="2" width="18.36328125" style="10" customWidth="1"/>
    <col min="3" max="3" width="11.1796875" style="10" customWidth="1"/>
    <col min="4" max="16384" width="8.7265625" style="10"/>
  </cols>
  <sheetData>
    <row r="2" spans="2:10" x14ac:dyDescent="0.3">
      <c r="B2" s="11" t="s">
        <v>710</v>
      </c>
      <c r="G2" s="11" t="s">
        <v>711</v>
      </c>
    </row>
    <row r="3" spans="2:10" x14ac:dyDescent="0.3">
      <c r="B3" s="11"/>
      <c r="G3" s="11"/>
    </row>
    <row r="4" spans="2:10" x14ac:dyDescent="0.3">
      <c r="B4" s="11" t="s">
        <v>717</v>
      </c>
    </row>
    <row r="5" spans="2:10" ht="206" customHeight="1" x14ac:dyDescent="0.3">
      <c r="B5" s="13" t="s">
        <v>761</v>
      </c>
      <c r="C5" s="13"/>
      <c r="D5" s="13"/>
      <c r="E5" s="13"/>
      <c r="F5" s="13"/>
      <c r="G5" s="13"/>
      <c r="H5" s="13"/>
      <c r="I5" s="13"/>
      <c r="J5" s="13"/>
    </row>
    <row r="6" spans="2:10" x14ac:dyDescent="0.3">
      <c r="B6" s="11" t="s">
        <v>718</v>
      </c>
    </row>
    <row r="7" spans="2:10" x14ac:dyDescent="0.3">
      <c r="B7" s="10" t="s">
        <v>715</v>
      </c>
    </row>
    <row r="8" spans="2:10" x14ac:dyDescent="0.3">
      <c r="B8" s="10" t="s">
        <v>712</v>
      </c>
    </row>
    <row r="9" spans="2:10" x14ac:dyDescent="0.3">
      <c r="B9" s="10" t="s">
        <v>714</v>
      </c>
    </row>
    <row r="10" spans="2:10" x14ac:dyDescent="0.3">
      <c r="B10" s="10" t="s">
        <v>713</v>
      </c>
    </row>
    <row r="11" spans="2:10" x14ac:dyDescent="0.3">
      <c r="B11" s="10" t="s">
        <v>716</v>
      </c>
    </row>
    <row r="13" spans="2:10" x14ac:dyDescent="0.3">
      <c r="B13" s="11" t="s">
        <v>720</v>
      </c>
    </row>
    <row r="14" spans="2:10" x14ac:dyDescent="0.3">
      <c r="B14" s="12" t="s">
        <v>722</v>
      </c>
      <c r="C14" s="12" t="s">
        <v>721</v>
      </c>
      <c r="D14" s="12" t="s">
        <v>723</v>
      </c>
    </row>
    <row r="15" spans="2:10" x14ac:dyDescent="0.3">
      <c r="B15" s="10" t="s">
        <v>719</v>
      </c>
      <c r="C15" s="10" t="s">
        <v>3</v>
      </c>
      <c r="D15" s="10" t="s">
        <v>724</v>
      </c>
    </row>
    <row r="16" spans="2:10" x14ac:dyDescent="0.3">
      <c r="B16" s="10" t="s">
        <v>719</v>
      </c>
      <c r="C16" s="10" t="s">
        <v>4</v>
      </c>
      <c r="D16" s="10" t="s">
        <v>725</v>
      </c>
    </row>
    <row r="17" spans="2:4" x14ac:dyDescent="0.3">
      <c r="B17" s="10" t="s">
        <v>719</v>
      </c>
      <c r="C17" s="10" t="s">
        <v>679</v>
      </c>
      <c r="D17" s="10" t="s">
        <v>726</v>
      </c>
    </row>
    <row r="18" spans="2:4" x14ac:dyDescent="0.3">
      <c r="B18" s="10" t="s">
        <v>719</v>
      </c>
      <c r="C18" s="10" t="s">
        <v>661</v>
      </c>
      <c r="D18" s="10" t="s">
        <v>728</v>
      </c>
    </row>
    <row r="19" spans="2:4" x14ac:dyDescent="0.3">
      <c r="B19" s="10" t="s">
        <v>719</v>
      </c>
      <c r="C19" s="10" t="s">
        <v>663</v>
      </c>
      <c r="D19" s="10" t="s">
        <v>727</v>
      </c>
    </row>
    <row r="20" spans="2:4" x14ac:dyDescent="0.3">
      <c r="B20" s="10" t="s">
        <v>719</v>
      </c>
      <c r="C20" s="10" t="s">
        <v>5</v>
      </c>
      <c r="D20" s="10" t="s">
        <v>729</v>
      </c>
    </row>
    <row r="21" spans="2:4" x14ac:dyDescent="0.3">
      <c r="B21" s="10" t="s">
        <v>719</v>
      </c>
      <c r="C21" s="10" t="s">
        <v>6</v>
      </c>
      <c r="D21" s="10" t="s">
        <v>731</v>
      </c>
    </row>
    <row r="22" spans="2:4" x14ac:dyDescent="0.3">
      <c r="B22" s="10" t="s">
        <v>719</v>
      </c>
      <c r="C22" s="10" t="s">
        <v>7</v>
      </c>
      <c r="D22" s="10" t="s">
        <v>730</v>
      </c>
    </row>
    <row r="23" spans="2:4" x14ac:dyDescent="0.3">
      <c r="B23" s="10" t="s">
        <v>719</v>
      </c>
      <c r="C23" s="10" t="s">
        <v>8</v>
      </c>
      <c r="D23" s="10" t="s">
        <v>732</v>
      </c>
    </row>
    <row r="24" spans="2:4" x14ac:dyDescent="0.3">
      <c r="B24" s="10" t="s">
        <v>719</v>
      </c>
      <c r="C24" s="10" t="s">
        <v>9</v>
      </c>
      <c r="D24" s="10" t="s">
        <v>733</v>
      </c>
    </row>
    <row r="25" spans="2:4" x14ac:dyDescent="0.3">
      <c r="B25" s="10" t="s">
        <v>719</v>
      </c>
      <c r="C25" s="10" t="s">
        <v>653</v>
      </c>
      <c r="D25" s="10" t="s">
        <v>734</v>
      </c>
    </row>
    <row r="26" spans="2:4" x14ac:dyDescent="0.3">
      <c r="B26" s="10" t="s">
        <v>719</v>
      </c>
      <c r="C26" s="10" t="s">
        <v>654</v>
      </c>
      <c r="D26" s="10" t="s">
        <v>742</v>
      </c>
    </row>
    <row r="27" spans="2:4" x14ac:dyDescent="0.3">
      <c r="B27" s="10" t="s">
        <v>719</v>
      </c>
      <c r="C27" s="10" t="s">
        <v>681</v>
      </c>
      <c r="D27" s="10" t="s">
        <v>743</v>
      </c>
    </row>
    <row r="28" spans="2:4" x14ac:dyDescent="0.3">
      <c r="B28" s="10" t="s">
        <v>719</v>
      </c>
      <c r="C28" s="10" t="s">
        <v>73</v>
      </c>
      <c r="D28" s="10" t="s">
        <v>735</v>
      </c>
    </row>
    <row r="29" spans="2:4" x14ac:dyDescent="0.3">
      <c r="B29" s="10" t="s">
        <v>719</v>
      </c>
      <c r="C29" s="10" t="s">
        <v>92</v>
      </c>
      <c r="D29" s="10" t="s">
        <v>736</v>
      </c>
    </row>
    <row r="30" spans="2:4" x14ac:dyDescent="0.3">
      <c r="B30" s="10" t="s">
        <v>719</v>
      </c>
      <c r="C30" s="10" t="s">
        <v>651</v>
      </c>
      <c r="D30" s="10" t="s">
        <v>741</v>
      </c>
    </row>
    <row r="31" spans="2:4" x14ac:dyDescent="0.3">
      <c r="B31" s="10" t="s">
        <v>719</v>
      </c>
      <c r="C31" s="10" t="s">
        <v>659</v>
      </c>
      <c r="D31" s="10" t="s">
        <v>737</v>
      </c>
    </row>
    <row r="32" spans="2:4" x14ac:dyDescent="0.3">
      <c r="B32" s="10" t="s">
        <v>719</v>
      </c>
      <c r="C32" s="10" t="s">
        <v>664</v>
      </c>
      <c r="D32" s="10" t="s">
        <v>739</v>
      </c>
    </row>
    <row r="33" spans="2:4" x14ac:dyDescent="0.3">
      <c r="B33" s="10" t="s">
        <v>719</v>
      </c>
      <c r="C33" s="10" t="s">
        <v>706</v>
      </c>
      <c r="D33" s="10" t="s">
        <v>740</v>
      </c>
    </row>
    <row r="34" spans="2:4" x14ac:dyDescent="0.3">
      <c r="B34" s="10" t="s">
        <v>719</v>
      </c>
      <c r="C34" s="10" t="s">
        <v>707</v>
      </c>
      <c r="D34" s="10" t="s">
        <v>738</v>
      </c>
    </row>
    <row r="35" spans="2:4" x14ac:dyDescent="0.3">
      <c r="B35" s="10" t="s">
        <v>719</v>
      </c>
      <c r="C35" s="10" t="s">
        <v>708</v>
      </c>
      <c r="D35" s="10" t="s">
        <v>762</v>
      </c>
    </row>
    <row r="37" spans="2:4" x14ac:dyDescent="0.3">
      <c r="B37" s="10" t="s">
        <v>745</v>
      </c>
      <c r="C37" s="10" t="s">
        <v>35</v>
      </c>
      <c r="D37" s="10" t="s">
        <v>746</v>
      </c>
    </row>
    <row r="38" spans="2:4" x14ac:dyDescent="0.3">
      <c r="B38" s="10" t="s">
        <v>745</v>
      </c>
      <c r="C38" s="10" t="s">
        <v>36</v>
      </c>
      <c r="D38" s="10" t="s">
        <v>750</v>
      </c>
    </row>
    <row r="39" spans="2:4" x14ac:dyDescent="0.3">
      <c r="B39" s="10" t="s">
        <v>745</v>
      </c>
      <c r="C39" s="10" t="s">
        <v>37</v>
      </c>
      <c r="D39" s="10" t="s">
        <v>749</v>
      </c>
    </row>
    <row r="40" spans="2:4" x14ac:dyDescent="0.3">
      <c r="B40" s="10" t="s">
        <v>745</v>
      </c>
      <c r="C40" s="10" t="s">
        <v>38</v>
      </c>
      <c r="D40" s="10" t="s">
        <v>748</v>
      </c>
    </row>
    <row r="41" spans="2:4" x14ac:dyDescent="0.3">
      <c r="B41" s="10" t="s">
        <v>745</v>
      </c>
      <c r="C41" s="10" t="s">
        <v>3</v>
      </c>
      <c r="D41" s="10" t="s">
        <v>724</v>
      </c>
    </row>
    <row r="42" spans="2:4" x14ac:dyDescent="0.3">
      <c r="B42" s="10" t="s">
        <v>745</v>
      </c>
      <c r="C42" s="10" t="s">
        <v>39</v>
      </c>
      <c r="D42" s="10" t="s">
        <v>747</v>
      </c>
    </row>
    <row r="43" spans="2:4" x14ac:dyDescent="0.3">
      <c r="B43" s="10" t="s">
        <v>745</v>
      </c>
      <c r="C43" s="10" t="s">
        <v>40</v>
      </c>
      <c r="D43" s="10" t="s">
        <v>751</v>
      </c>
    </row>
    <row r="44" spans="2:4" x14ac:dyDescent="0.3">
      <c r="B44" s="10" t="s">
        <v>745</v>
      </c>
      <c r="C44" s="10" t="s">
        <v>652</v>
      </c>
      <c r="D44" s="10" t="s">
        <v>752</v>
      </c>
    </row>
    <row r="45" spans="2:4" x14ac:dyDescent="0.3">
      <c r="B45" s="10" t="s">
        <v>745</v>
      </c>
      <c r="C45" s="10" t="s">
        <v>655</v>
      </c>
      <c r="D45" s="10" t="s">
        <v>753</v>
      </c>
    </row>
    <row r="46" spans="2:4" x14ac:dyDescent="0.3">
      <c r="B46" s="10" t="s">
        <v>745</v>
      </c>
      <c r="C46" s="10" t="s">
        <v>5</v>
      </c>
      <c r="D46" s="10" t="s">
        <v>754</v>
      </c>
    </row>
    <row r="47" spans="2:4" x14ac:dyDescent="0.3">
      <c r="B47" s="10" t="s">
        <v>745</v>
      </c>
      <c r="C47" s="10" t="s">
        <v>41</v>
      </c>
      <c r="D47" s="10" t="s">
        <v>730</v>
      </c>
    </row>
    <row r="48" spans="2:4" x14ac:dyDescent="0.3">
      <c r="B48" s="10" t="s">
        <v>745</v>
      </c>
      <c r="C48" s="10" t="s">
        <v>63</v>
      </c>
      <c r="D48" s="10" t="s">
        <v>755</v>
      </c>
    </row>
    <row r="49" spans="2:4" x14ac:dyDescent="0.3">
      <c r="B49" s="10" t="s">
        <v>745</v>
      </c>
      <c r="C49" s="10" t="s">
        <v>42</v>
      </c>
      <c r="D49" s="10" t="s">
        <v>756</v>
      </c>
    </row>
    <row r="50" spans="2:4" x14ac:dyDescent="0.3">
      <c r="B50" s="10" t="s">
        <v>745</v>
      </c>
      <c r="C50" s="10" t="s">
        <v>653</v>
      </c>
      <c r="D50" s="10" t="s">
        <v>757</v>
      </c>
    </row>
    <row r="51" spans="2:4" x14ac:dyDescent="0.3">
      <c r="B51" s="10" t="s">
        <v>745</v>
      </c>
      <c r="C51" s="10" t="s">
        <v>64</v>
      </c>
      <c r="D51" s="10" t="s">
        <v>758</v>
      </c>
    </row>
    <row r="52" spans="2:4" x14ac:dyDescent="0.3">
      <c r="B52" s="10" t="s">
        <v>745</v>
      </c>
      <c r="C52" s="10" t="s">
        <v>65</v>
      </c>
      <c r="D52" s="10" t="s">
        <v>759</v>
      </c>
    </row>
    <row r="54" spans="2:4" x14ac:dyDescent="0.3">
      <c r="B54" s="10" t="s">
        <v>760</v>
      </c>
      <c r="D54" s="10" t="s">
        <v>763</v>
      </c>
    </row>
  </sheetData>
  <mergeCells count="1">
    <mergeCell ref="B5:J5"/>
  </mergeCells>
  <phoneticPr fontId="5" type="noConversion"/>
  <pageMargins left="0.7" right="0.7" top="0.75" bottom="0.75" header="0.3" footer="0.3"/>
  <pageSetup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71067-27DE-42AC-AE66-2A185C19AA95}">
  <sheetPr codeName="Sheet2"/>
  <dimension ref="A1:AD160"/>
  <sheetViews>
    <sheetView zoomScaleNormal="100" workbookViewId="0">
      <pane xSplit="2" ySplit="1" topLeftCell="Q2" activePane="bottomRight" state="frozen"/>
      <selection pane="topRight" activeCell="C1" sqref="C1"/>
      <selection pane="bottomLeft" activeCell="A2" sqref="A2"/>
      <selection pane="bottomRight" activeCell="Z7" sqref="Z7"/>
    </sheetView>
  </sheetViews>
  <sheetFormatPr defaultRowHeight="14.5" x14ac:dyDescent="0.35"/>
  <cols>
    <col min="1" max="1" width="9.7265625" customWidth="1"/>
    <col min="2" max="2" width="13.26953125" customWidth="1"/>
    <col min="3" max="3" width="7.90625" customWidth="1"/>
    <col min="4" max="4" width="8.6328125" customWidth="1"/>
    <col min="7" max="7" width="9.08984375" customWidth="1"/>
    <col min="12" max="12" width="7.90625" customWidth="1"/>
    <col min="22" max="22" width="8.7265625" customWidth="1"/>
  </cols>
  <sheetData>
    <row r="1" spans="1:30" x14ac:dyDescent="0.35">
      <c r="A1" t="s">
        <v>1</v>
      </c>
      <c r="B1" t="s">
        <v>521</v>
      </c>
      <c r="C1" t="s">
        <v>34</v>
      </c>
      <c r="D1" t="s">
        <v>66</v>
      </c>
      <c r="E1" t="s">
        <v>662</v>
      </c>
      <c r="F1" t="s">
        <v>2</v>
      </c>
      <c r="G1" t="s">
        <v>650</v>
      </c>
      <c r="H1" t="s">
        <v>3</v>
      </c>
      <c r="I1" t="s">
        <v>4</v>
      </c>
      <c r="J1" t="s">
        <v>679</v>
      </c>
      <c r="K1" t="s">
        <v>661</v>
      </c>
      <c r="L1" t="s">
        <v>663</v>
      </c>
      <c r="M1" t="s">
        <v>5</v>
      </c>
      <c r="N1" t="s">
        <v>6</v>
      </c>
      <c r="O1" t="s">
        <v>7</v>
      </c>
      <c r="P1" t="s">
        <v>8</v>
      </c>
      <c r="Q1" t="s">
        <v>9</v>
      </c>
      <c r="R1" t="s">
        <v>653</v>
      </c>
      <c r="S1" t="s">
        <v>654</v>
      </c>
      <c r="T1" t="s">
        <v>681</v>
      </c>
      <c r="U1" t="s">
        <v>73</v>
      </c>
      <c r="V1" t="s">
        <v>92</v>
      </c>
      <c r="W1" t="s">
        <v>651</v>
      </c>
      <c r="X1" t="s">
        <v>659</v>
      </c>
      <c r="Y1" t="s">
        <v>660</v>
      </c>
      <c r="AA1" t="s">
        <v>664</v>
      </c>
      <c r="AB1" t="s">
        <v>706</v>
      </c>
      <c r="AC1" t="s">
        <v>707</v>
      </c>
      <c r="AD1" t="s">
        <v>708</v>
      </c>
    </row>
    <row r="2" spans="1:30" x14ac:dyDescent="0.35">
      <c r="A2" t="s">
        <v>587</v>
      </c>
      <c r="B2" t="s">
        <v>300</v>
      </c>
      <c r="C2" s="4" t="s">
        <v>83</v>
      </c>
      <c r="D2" s="4" t="s">
        <v>70</v>
      </c>
      <c r="E2">
        <v>38</v>
      </c>
      <c r="F2">
        <v>3274</v>
      </c>
      <c r="G2" s="7">
        <f t="shared" ref="G2:G33" si="0">F2/E2</f>
        <v>86.15789473684211</v>
      </c>
      <c r="H2">
        <v>22</v>
      </c>
      <c r="I2">
        <v>8</v>
      </c>
      <c r="J2">
        <v>18</v>
      </c>
      <c r="K2">
        <v>38</v>
      </c>
      <c r="L2" s="7">
        <v>86.15789473684211</v>
      </c>
      <c r="M2" s="3">
        <v>21.79</v>
      </c>
      <c r="N2" s="3">
        <v>19.510000000000002</v>
      </c>
      <c r="O2" s="3">
        <v>10.47</v>
      </c>
      <c r="P2" s="2">
        <v>0.6</v>
      </c>
      <c r="Q2" s="2">
        <v>0.28999999999999998</v>
      </c>
      <c r="R2" s="2">
        <v>0.47229316106643499</v>
      </c>
      <c r="S2" s="2">
        <v>0.11448</v>
      </c>
      <c r="T2" s="2">
        <f t="shared" ref="T2:T33" si="1">J2/E2</f>
        <v>0.47368421052631576</v>
      </c>
      <c r="U2">
        <v>12.5</v>
      </c>
      <c r="V2">
        <v>259</v>
      </c>
      <c r="W2" s="7">
        <f t="shared" ref="W2:W33" si="2">calcPoints(D2,K2,L2,P2,Q2,R2,S2,T2)</f>
        <v>248.37890012052455</v>
      </c>
      <c r="X2" s="7">
        <f t="shared" ref="X2:X33" si="3">W2-V2</f>
        <v>-10.621099879475452</v>
      </c>
      <c r="Y2" s="2">
        <f t="shared" ref="Y2:Y33" si="4">ABS(X2/W2)</f>
        <v>4.2761683356845603E-2</v>
      </c>
      <c r="Z2" s="7"/>
      <c r="AA2" s="3">
        <f>W2/U2</f>
        <v>19.870312009641964</v>
      </c>
      <c r="AB2" s="3">
        <f>W2/38</f>
        <v>6.5362868452769618</v>
      </c>
      <c r="AC2" s="2">
        <f>AB2/U2</f>
        <v>0.52290294762215694</v>
      </c>
      <c r="AD2" s="2">
        <f t="shared" ref="AD2:AD33" si="5">(AB2-2)/U2</f>
        <v>0.36290294762215697</v>
      </c>
    </row>
    <row r="3" spans="1:30" x14ac:dyDescent="0.35">
      <c r="A3" t="s">
        <v>592</v>
      </c>
      <c r="B3" t="s">
        <v>301</v>
      </c>
      <c r="C3" s="4" t="s">
        <v>84</v>
      </c>
      <c r="D3" s="4" t="s">
        <v>70</v>
      </c>
      <c r="E3">
        <v>34</v>
      </c>
      <c r="F3">
        <v>2788</v>
      </c>
      <c r="G3" s="7">
        <f t="shared" si="0"/>
        <v>82</v>
      </c>
      <c r="H3">
        <v>17</v>
      </c>
      <c r="I3">
        <v>10</v>
      </c>
      <c r="J3">
        <v>25</v>
      </c>
      <c r="K3">
        <v>34</v>
      </c>
      <c r="L3" s="7">
        <v>82</v>
      </c>
      <c r="M3" s="3">
        <v>15.91</v>
      </c>
      <c r="N3" s="3">
        <v>15.91</v>
      </c>
      <c r="O3" s="3">
        <v>10.79</v>
      </c>
      <c r="P3" s="2">
        <v>0.51</v>
      </c>
      <c r="Q3" s="2">
        <v>0.35</v>
      </c>
      <c r="R3" s="2">
        <v>0.49952142743233141</v>
      </c>
      <c r="S3" s="2">
        <v>0.12825999999999999</v>
      </c>
      <c r="T3" s="2">
        <f t="shared" si="1"/>
        <v>0.73529411764705888</v>
      </c>
      <c r="U3">
        <v>12</v>
      </c>
      <c r="V3">
        <v>234</v>
      </c>
      <c r="W3" s="7">
        <f t="shared" si="2"/>
        <v>217.14288853269923</v>
      </c>
      <c r="X3" s="7">
        <f t="shared" si="3"/>
        <v>-16.857111467300768</v>
      </c>
      <c r="Y3" s="2">
        <f t="shared" si="4"/>
        <v>7.7631423166604333E-2</v>
      </c>
      <c r="Z3" s="7"/>
      <c r="AA3" s="3">
        <f t="shared" ref="AA3:AA33" si="6">W3/U3</f>
        <v>18.09524071105827</v>
      </c>
      <c r="AB3" s="3">
        <f t="shared" ref="AB3:AB33" si="7">W3/38</f>
        <v>5.7142865403341903</v>
      </c>
      <c r="AC3" s="2">
        <f t="shared" ref="AC3:AC33" si="8">AB3/U3</f>
        <v>0.47619054502784919</v>
      </c>
      <c r="AD3" s="2">
        <f t="shared" si="5"/>
        <v>0.3095238783611825</v>
      </c>
    </row>
    <row r="4" spans="1:30" x14ac:dyDescent="0.35">
      <c r="A4" t="s">
        <v>590</v>
      </c>
      <c r="B4" t="s">
        <v>147</v>
      </c>
      <c r="C4" s="4" t="s">
        <v>83</v>
      </c>
      <c r="D4" s="4" t="s">
        <v>69</v>
      </c>
      <c r="E4">
        <v>29</v>
      </c>
      <c r="F4">
        <v>2475</v>
      </c>
      <c r="G4" s="7">
        <f t="shared" si="0"/>
        <v>85.34482758620689</v>
      </c>
      <c r="H4">
        <v>1</v>
      </c>
      <c r="I4">
        <v>12</v>
      </c>
      <c r="J4">
        <v>25</v>
      </c>
      <c r="K4">
        <v>38</v>
      </c>
      <c r="L4" s="7">
        <v>85.34482758620689</v>
      </c>
      <c r="M4" s="3">
        <v>1.49</v>
      </c>
      <c r="N4" s="3">
        <v>1.49</v>
      </c>
      <c r="O4" s="3">
        <v>7.22</v>
      </c>
      <c r="P4" s="2">
        <v>0.05</v>
      </c>
      <c r="Q4" s="2">
        <v>0.26</v>
      </c>
      <c r="R4" s="2">
        <v>0.47229316106643499</v>
      </c>
      <c r="S4" s="2">
        <v>0.11097</v>
      </c>
      <c r="T4" s="2">
        <f>J4/E4</f>
        <v>0.86206896551724133</v>
      </c>
      <c r="U4">
        <v>7</v>
      </c>
      <c r="V4">
        <v>185</v>
      </c>
      <c r="W4" s="7">
        <f t="shared" si="2"/>
        <v>215.24756255106362</v>
      </c>
      <c r="X4" s="7">
        <f t="shared" si="3"/>
        <v>30.247562551063623</v>
      </c>
      <c r="Y4" s="2">
        <f t="shared" si="4"/>
        <v>0.14052452995321577</v>
      </c>
      <c r="Z4" s="7"/>
      <c r="AA4" s="3">
        <f t="shared" si="6"/>
        <v>30.74965179300909</v>
      </c>
      <c r="AB4" s="3">
        <f t="shared" si="7"/>
        <v>5.6644095408174637</v>
      </c>
      <c r="AC4" s="2">
        <f t="shared" si="8"/>
        <v>0.80920136297392342</v>
      </c>
      <c r="AD4" s="2">
        <f t="shared" si="5"/>
        <v>0.52348707725963772</v>
      </c>
    </row>
    <row r="5" spans="1:30" x14ac:dyDescent="0.35">
      <c r="A5" t="s">
        <v>584</v>
      </c>
      <c r="B5" t="s">
        <v>467</v>
      </c>
      <c r="C5" s="4" t="s">
        <v>88</v>
      </c>
      <c r="D5" s="4" t="s">
        <v>72</v>
      </c>
      <c r="E5">
        <v>28</v>
      </c>
      <c r="F5">
        <v>2437</v>
      </c>
      <c r="G5" s="7">
        <f t="shared" si="0"/>
        <v>87.035714285714292</v>
      </c>
      <c r="H5">
        <v>17</v>
      </c>
      <c r="I5">
        <v>4</v>
      </c>
      <c r="J5">
        <v>24</v>
      </c>
      <c r="K5">
        <v>38</v>
      </c>
      <c r="L5" s="7">
        <v>87.035714285714292</v>
      </c>
      <c r="M5" s="3">
        <v>16.12</v>
      </c>
      <c r="N5" s="3">
        <v>13.08</v>
      </c>
      <c r="O5" s="3">
        <v>4.5599999999999996</v>
      </c>
      <c r="P5" s="2">
        <v>0.6</v>
      </c>
      <c r="Q5" s="2">
        <v>0.17</v>
      </c>
      <c r="R5" s="2">
        <v>0.36449470299794445</v>
      </c>
      <c r="S5" s="2">
        <v>0.11654499999999998</v>
      </c>
      <c r="T5" s="2">
        <f t="shared" si="1"/>
        <v>0.8571428571428571</v>
      </c>
      <c r="U5">
        <v>11</v>
      </c>
      <c r="V5">
        <v>160</v>
      </c>
      <c r="W5" s="7">
        <f t="shared" si="2"/>
        <v>211.0805995238095</v>
      </c>
      <c r="X5" s="7">
        <f t="shared" si="3"/>
        <v>51.080599523809497</v>
      </c>
      <c r="Y5" s="2">
        <f>ABS(X5/W5)</f>
        <v>0.24199570988070698</v>
      </c>
      <c r="Z5" s="7"/>
      <c r="AA5" s="3">
        <f t="shared" si="6"/>
        <v>19.18914541125541</v>
      </c>
      <c r="AB5" s="3">
        <f t="shared" si="7"/>
        <v>5.5547526190476182</v>
      </c>
      <c r="AC5" s="2">
        <f t="shared" si="8"/>
        <v>0.50497751082251074</v>
      </c>
      <c r="AD5" s="2">
        <f t="shared" si="5"/>
        <v>0.32315932900432892</v>
      </c>
    </row>
    <row r="6" spans="1:30" x14ac:dyDescent="0.35">
      <c r="A6" t="s">
        <v>586</v>
      </c>
      <c r="B6" t="s">
        <v>302</v>
      </c>
      <c r="C6" s="4" t="s">
        <v>83</v>
      </c>
      <c r="D6" s="4" t="s">
        <v>70</v>
      </c>
      <c r="E6">
        <v>36</v>
      </c>
      <c r="F6">
        <v>3100</v>
      </c>
      <c r="G6" s="7">
        <f t="shared" si="0"/>
        <v>86.111111111111114</v>
      </c>
      <c r="H6">
        <v>22</v>
      </c>
      <c r="I6">
        <v>1</v>
      </c>
      <c r="J6">
        <v>24</v>
      </c>
      <c r="K6">
        <v>36</v>
      </c>
      <c r="L6" s="7">
        <v>86.111111111111114</v>
      </c>
      <c r="M6" s="3">
        <v>16.760000000000002</v>
      </c>
      <c r="N6" s="3">
        <v>16.760000000000002</v>
      </c>
      <c r="O6" s="3">
        <v>5.12</v>
      </c>
      <c r="P6" s="2">
        <v>0.49</v>
      </c>
      <c r="Q6" s="2">
        <v>0.15</v>
      </c>
      <c r="R6" s="2">
        <v>0.47229316106643499</v>
      </c>
      <c r="S6" s="2">
        <v>0.11448</v>
      </c>
      <c r="T6" s="2">
        <f t="shared" si="1"/>
        <v>0.66666666666666663</v>
      </c>
      <c r="U6">
        <v>11.5</v>
      </c>
      <c r="V6">
        <v>231</v>
      </c>
      <c r="W6" s="7">
        <f t="shared" si="2"/>
        <v>208.77016268728056</v>
      </c>
      <c r="X6" s="7">
        <f t="shared" si="3"/>
        <v>-22.22983731271944</v>
      </c>
      <c r="Y6" s="2">
        <f t="shared" si="4"/>
        <v>0.10647995396745363</v>
      </c>
      <c r="Z6" s="7"/>
      <c r="AA6" s="3">
        <f t="shared" si="6"/>
        <v>18.15392719019831</v>
      </c>
      <c r="AB6" s="3">
        <f t="shared" si="7"/>
        <v>5.493951649665278</v>
      </c>
      <c r="AC6" s="2">
        <f t="shared" si="8"/>
        <v>0.47773492605785028</v>
      </c>
      <c r="AD6" s="2">
        <f t="shared" si="5"/>
        <v>0.30382188257958942</v>
      </c>
    </row>
    <row r="7" spans="1:30" x14ac:dyDescent="0.35">
      <c r="A7" t="s">
        <v>527</v>
      </c>
      <c r="B7" t="s">
        <v>466</v>
      </c>
      <c r="C7" s="4" t="s">
        <v>74</v>
      </c>
      <c r="D7" s="4" t="s">
        <v>72</v>
      </c>
      <c r="E7">
        <v>36</v>
      </c>
      <c r="F7">
        <v>2740</v>
      </c>
      <c r="G7" s="7">
        <f t="shared" si="0"/>
        <v>76.111111111111114</v>
      </c>
      <c r="H7">
        <v>22</v>
      </c>
      <c r="I7">
        <v>5</v>
      </c>
      <c r="J7">
        <v>32</v>
      </c>
      <c r="K7">
        <v>36</v>
      </c>
      <c r="L7" s="7">
        <v>76.111111111111114</v>
      </c>
      <c r="M7" s="3">
        <v>23.55</v>
      </c>
      <c r="N7" s="3">
        <v>19.739999999999998</v>
      </c>
      <c r="O7" s="3">
        <v>4.99</v>
      </c>
      <c r="P7" s="2">
        <v>0.77</v>
      </c>
      <c r="Q7" s="2">
        <v>0.16</v>
      </c>
      <c r="R7" s="2">
        <v>0.34896981428054735</v>
      </c>
      <c r="S7" s="2">
        <v>0.14299999999999999</v>
      </c>
      <c r="T7" s="2">
        <f t="shared" si="1"/>
        <v>0.88888888888888884</v>
      </c>
      <c r="U7">
        <v>11</v>
      </c>
      <c r="V7">
        <v>205</v>
      </c>
      <c r="W7" s="7">
        <f t="shared" si="2"/>
        <v>207.23422222222223</v>
      </c>
      <c r="X7" s="7">
        <f t="shared" si="3"/>
        <v>2.234222222222229</v>
      </c>
      <c r="Y7" s="2">
        <f t="shared" si="4"/>
        <v>1.0781145113312506E-2</v>
      </c>
      <c r="Z7" s="7"/>
      <c r="AA7" s="3">
        <f t="shared" si="6"/>
        <v>18.83947474747475</v>
      </c>
      <c r="AB7" s="3">
        <f t="shared" si="7"/>
        <v>5.4535321637426906</v>
      </c>
      <c r="AC7" s="2">
        <f t="shared" si="8"/>
        <v>0.49577565124933548</v>
      </c>
      <c r="AD7" s="2">
        <f t="shared" si="5"/>
        <v>0.31395746943115371</v>
      </c>
    </row>
    <row r="8" spans="1:30" x14ac:dyDescent="0.35">
      <c r="A8" t="s">
        <v>535</v>
      </c>
      <c r="B8" t="s">
        <v>474</v>
      </c>
      <c r="C8" s="4" t="s">
        <v>75</v>
      </c>
      <c r="D8" s="4" t="s">
        <v>72</v>
      </c>
      <c r="E8">
        <v>30</v>
      </c>
      <c r="F8">
        <v>2548</v>
      </c>
      <c r="G8" s="7">
        <f t="shared" si="0"/>
        <v>84.933333333333337</v>
      </c>
      <c r="H8">
        <v>14</v>
      </c>
      <c r="I8">
        <v>9</v>
      </c>
      <c r="J8">
        <v>22</v>
      </c>
      <c r="K8">
        <v>38</v>
      </c>
      <c r="L8" s="7">
        <v>84.933333333333337</v>
      </c>
      <c r="M8" s="3">
        <v>16.02</v>
      </c>
      <c r="N8" s="3">
        <v>14.49</v>
      </c>
      <c r="O8" s="3">
        <v>5.96</v>
      </c>
      <c r="P8" s="2">
        <v>0.56999999999999995</v>
      </c>
      <c r="Q8" s="2">
        <v>0.21</v>
      </c>
      <c r="R8" s="2">
        <v>0.20709621584771859</v>
      </c>
      <c r="S8" s="2">
        <v>0.11654499999999998</v>
      </c>
      <c r="T8" s="2">
        <f t="shared" si="1"/>
        <v>0.73333333333333328</v>
      </c>
      <c r="U8">
        <v>8</v>
      </c>
      <c r="V8">
        <v>168</v>
      </c>
      <c r="W8" s="7">
        <f t="shared" si="2"/>
        <v>203.79271222222221</v>
      </c>
      <c r="X8" s="7">
        <f t="shared" si="3"/>
        <v>35.792712222222207</v>
      </c>
      <c r="Y8" s="2">
        <f t="shared" si="4"/>
        <v>0.17563293521111131</v>
      </c>
      <c r="Z8" s="7"/>
      <c r="AA8" s="3">
        <f t="shared" si="6"/>
        <v>25.474089027777776</v>
      </c>
      <c r="AB8" s="3">
        <f t="shared" si="7"/>
        <v>5.3629661111111107</v>
      </c>
      <c r="AC8" s="2">
        <f t="shared" si="8"/>
        <v>0.67037076388888883</v>
      </c>
      <c r="AD8" s="2">
        <f t="shared" si="5"/>
        <v>0.42037076388888883</v>
      </c>
    </row>
    <row r="9" spans="1:30" x14ac:dyDescent="0.35">
      <c r="A9" t="s">
        <v>591</v>
      </c>
      <c r="B9" t="s">
        <v>146</v>
      </c>
      <c r="C9" s="4" t="s">
        <v>83</v>
      </c>
      <c r="D9" s="4" t="s">
        <v>69</v>
      </c>
      <c r="E9">
        <v>37</v>
      </c>
      <c r="F9">
        <v>3223</v>
      </c>
      <c r="G9" s="7">
        <f t="shared" si="0"/>
        <v>87.108108108108112</v>
      </c>
      <c r="H9">
        <v>0</v>
      </c>
      <c r="I9">
        <v>11</v>
      </c>
      <c r="J9">
        <v>29</v>
      </c>
      <c r="K9">
        <v>38</v>
      </c>
      <c r="L9" s="7">
        <v>89.527777777777771</v>
      </c>
      <c r="M9" s="3">
        <v>0.86</v>
      </c>
      <c r="N9" s="3">
        <v>0.86</v>
      </c>
      <c r="O9" s="3">
        <v>8.06</v>
      </c>
      <c r="P9" s="2">
        <v>0.02</v>
      </c>
      <c r="Q9" s="2">
        <v>0.22</v>
      </c>
      <c r="R9" s="2">
        <v>0.47229316106643499</v>
      </c>
      <c r="S9" s="2">
        <v>0.11097</v>
      </c>
      <c r="T9" s="2">
        <f t="shared" si="1"/>
        <v>0.78378378378378377</v>
      </c>
      <c r="U9">
        <v>7</v>
      </c>
      <c r="V9">
        <v>213</v>
      </c>
      <c r="W9" s="7">
        <f t="shared" si="2"/>
        <v>202.83996574736341</v>
      </c>
      <c r="X9" s="7">
        <f t="shared" si="3"/>
        <v>-10.160034252636592</v>
      </c>
      <c r="Y9" s="2">
        <f t="shared" si="4"/>
        <v>5.0088917217087706E-2</v>
      </c>
      <c r="Z9" s="7"/>
      <c r="AA9" s="3">
        <f t="shared" si="6"/>
        <v>28.977137963909058</v>
      </c>
      <c r="AB9" s="3">
        <f t="shared" si="7"/>
        <v>5.3378938354569314</v>
      </c>
      <c r="AC9" s="2">
        <f t="shared" si="8"/>
        <v>0.76255626220813311</v>
      </c>
      <c r="AD9" s="2">
        <f t="shared" si="5"/>
        <v>0.47684197649384735</v>
      </c>
    </row>
    <row r="10" spans="1:30" x14ac:dyDescent="0.35">
      <c r="A10" t="s">
        <v>599</v>
      </c>
      <c r="B10" t="s">
        <v>308</v>
      </c>
      <c r="C10" s="4" t="s">
        <v>85</v>
      </c>
      <c r="D10" s="4" t="s">
        <v>70</v>
      </c>
      <c r="E10">
        <v>35</v>
      </c>
      <c r="F10">
        <v>3013</v>
      </c>
      <c r="G10" s="7">
        <f t="shared" si="0"/>
        <v>86.085714285714289</v>
      </c>
      <c r="H10">
        <v>13</v>
      </c>
      <c r="I10">
        <v>9</v>
      </c>
      <c r="J10">
        <v>19</v>
      </c>
      <c r="K10">
        <v>38</v>
      </c>
      <c r="L10" s="7">
        <v>86.085714285714289</v>
      </c>
      <c r="M10" s="3">
        <v>15.88</v>
      </c>
      <c r="N10" s="3">
        <v>8.27</v>
      </c>
      <c r="O10" s="3">
        <v>5.19</v>
      </c>
      <c r="P10" s="2">
        <v>0.47</v>
      </c>
      <c r="Q10" s="2">
        <v>0.15</v>
      </c>
      <c r="R10" s="2">
        <v>0.31306353319569563</v>
      </c>
      <c r="S10" s="2">
        <v>0.22577999999999998</v>
      </c>
      <c r="T10" s="2">
        <f t="shared" si="1"/>
        <v>0.54285714285714282</v>
      </c>
      <c r="U10">
        <v>8.5</v>
      </c>
      <c r="V10">
        <v>179</v>
      </c>
      <c r="W10" s="7">
        <f t="shared" si="2"/>
        <v>201.71779013445229</v>
      </c>
      <c r="X10" s="7">
        <f t="shared" si="3"/>
        <v>22.717790134452287</v>
      </c>
      <c r="Y10" s="2">
        <f t="shared" si="4"/>
        <v>0.11262164888535636</v>
      </c>
      <c r="Z10" s="7"/>
      <c r="AA10" s="3">
        <f t="shared" si="6"/>
        <v>23.731504721700269</v>
      </c>
      <c r="AB10" s="3">
        <f t="shared" si="7"/>
        <v>5.3083628982750604</v>
      </c>
      <c r="AC10" s="2">
        <f t="shared" si="8"/>
        <v>0.62451328215000712</v>
      </c>
      <c r="AD10" s="2">
        <f t="shared" si="5"/>
        <v>0.3892191645029483</v>
      </c>
    </row>
    <row r="11" spans="1:30" x14ac:dyDescent="0.35">
      <c r="A11" t="s">
        <v>597</v>
      </c>
      <c r="B11" t="s">
        <v>150</v>
      </c>
      <c r="C11" s="4" t="s">
        <v>84</v>
      </c>
      <c r="D11" s="4" t="s">
        <v>69</v>
      </c>
      <c r="E11">
        <v>35</v>
      </c>
      <c r="F11">
        <v>3059</v>
      </c>
      <c r="G11" s="7">
        <f t="shared" si="0"/>
        <v>87.4</v>
      </c>
      <c r="H11">
        <v>3</v>
      </c>
      <c r="I11">
        <v>3</v>
      </c>
      <c r="J11">
        <v>16</v>
      </c>
      <c r="K11">
        <v>38</v>
      </c>
      <c r="L11" s="7">
        <v>87.4</v>
      </c>
      <c r="M11" s="3">
        <v>3.75</v>
      </c>
      <c r="N11" s="3">
        <v>3.75</v>
      </c>
      <c r="O11" s="3">
        <v>0.84</v>
      </c>
      <c r="P11" s="2">
        <v>0.11</v>
      </c>
      <c r="Q11" s="2">
        <v>0.02</v>
      </c>
      <c r="R11" s="2">
        <v>0.49952142743233141</v>
      </c>
      <c r="S11" s="2">
        <v>0.12432749999999999</v>
      </c>
      <c r="T11" s="2">
        <f t="shared" si="1"/>
        <v>0.45714285714285713</v>
      </c>
      <c r="U11">
        <v>6.5</v>
      </c>
      <c r="V11">
        <v>177</v>
      </c>
      <c r="W11" s="7">
        <f t="shared" si="2"/>
        <v>191.14384054114296</v>
      </c>
      <c r="X11" s="7">
        <f t="shared" si="3"/>
        <v>14.143840541142964</v>
      </c>
      <c r="Y11" s="2">
        <f t="shared" si="4"/>
        <v>7.3995795528125102E-2</v>
      </c>
      <c r="Z11" s="7"/>
      <c r="AA11" s="3">
        <f t="shared" si="6"/>
        <v>29.406744698637379</v>
      </c>
      <c r="AB11" s="3">
        <f t="shared" si="7"/>
        <v>5.0301010668721835</v>
      </c>
      <c r="AC11" s="2">
        <f t="shared" si="8"/>
        <v>0.77386170259572051</v>
      </c>
      <c r="AD11" s="2">
        <f t="shared" si="5"/>
        <v>0.46616939490341286</v>
      </c>
    </row>
    <row r="12" spans="1:30" x14ac:dyDescent="0.35">
      <c r="A12" t="s">
        <v>589</v>
      </c>
      <c r="B12" t="s">
        <v>149</v>
      </c>
      <c r="C12" s="4" t="s">
        <v>83</v>
      </c>
      <c r="D12" s="4" t="s">
        <v>69</v>
      </c>
      <c r="E12">
        <v>38</v>
      </c>
      <c r="F12">
        <v>3388</v>
      </c>
      <c r="G12" s="7">
        <f t="shared" si="0"/>
        <v>89.15789473684211</v>
      </c>
      <c r="H12">
        <v>4</v>
      </c>
      <c r="I12">
        <v>2</v>
      </c>
      <c r="J12">
        <v>22</v>
      </c>
      <c r="K12">
        <v>38</v>
      </c>
      <c r="L12" s="7">
        <v>90</v>
      </c>
      <c r="M12" s="3">
        <v>3.51</v>
      </c>
      <c r="N12" s="3">
        <v>3.51</v>
      </c>
      <c r="O12" s="3">
        <v>1.27</v>
      </c>
      <c r="P12" s="2">
        <v>0.09</v>
      </c>
      <c r="Q12" s="2">
        <v>0.03</v>
      </c>
      <c r="R12" s="2">
        <v>0.47229316106643499</v>
      </c>
      <c r="S12" s="2">
        <v>0.11097</v>
      </c>
      <c r="T12" s="2">
        <f t="shared" si="1"/>
        <v>0.57894736842105265</v>
      </c>
      <c r="U12">
        <v>6.5</v>
      </c>
      <c r="V12">
        <v>208</v>
      </c>
      <c r="W12" s="7">
        <f t="shared" si="2"/>
        <v>189.51170048209809</v>
      </c>
      <c r="X12" s="7">
        <f t="shared" si="3"/>
        <v>-18.488299517901908</v>
      </c>
      <c r="Y12" s="2">
        <f t="shared" si="4"/>
        <v>9.7557562255362565E-2</v>
      </c>
      <c r="Z12" s="7"/>
      <c r="AA12" s="3">
        <f t="shared" si="6"/>
        <v>29.15564622801509</v>
      </c>
      <c r="AB12" s="3">
        <f t="shared" si="7"/>
        <v>4.9871500126867918</v>
      </c>
      <c r="AC12" s="2">
        <f t="shared" si="8"/>
        <v>0.76725384810566033</v>
      </c>
      <c r="AD12" s="2">
        <f t="shared" si="5"/>
        <v>0.45956154041335256</v>
      </c>
    </row>
    <row r="13" spans="1:30" x14ac:dyDescent="0.35">
      <c r="A13" t="s">
        <v>582</v>
      </c>
      <c r="B13" t="s">
        <v>471</v>
      </c>
      <c r="C13" s="4" t="s">
        <v>82</v>
      </c>
      <c r="D13" s="4" t="s">
        <v>72</v>
      </c>
      <c r="E13">
        <v>34</v>
      </c>
      <c r="F13">
        <v>2740</v>
      </c>
      <c r="G13" s="7">
        <f t="shared" si="0"/>
        <v>80.588235294117652</v>
      </c>
      <c r="H13">
        <v>18</v>
      </c>
      <c r="I13">
        <v>4</v>
      </c>
      <c r="J13">
        <v>31</v>
      </c>
      <c r="K13">
        <v>34</v>
      </c>
      <c r="L13" s="7">
        <v>80.588235294117652</v>
      </c>
      <c r="M13" s="3">
        <v>19.12</v>
      </c>
      <c r="N13" s="3">
        <v>15.31</v>
      </c>
      <c r="O13" s="3">
        <v>5.14</v>
      </c>
      <c r="P13" s="2">
        <v>0.63</v>
      </c>
      <c r="Q13" s="2">
        <v>0.17</v>
      </c>
      <c r="R13" s="2">
        <v>0.28400412610928571</v>
      </c>
      <c r="S13" s="2">
        <v>0.12583999999999998</v>
      </c>
      <c r="T13" s="2">
        <f t="shared" si="1"/>
        <v>0.91176470588235292</v>
      </c>
      <c r="U13">
        <v>9</v>
      </c>
      <c r="V13">
        <v>174</v>
      </c>
      <c r="W13" s="7">
        <f t="shared" si="2"/>
        <v>186.96810666666667</v>
      </c>
      <c r="X13" s="7">
        <f t="shared" si="3"/>
        <v>12.968106666666671</v>
      </c>
      <c r="Y13" s="2">
        <f t="shared" si="4"/>
        <v>6.935999351903728E-2</v>
      </c>
      <c r="Z13" s="7"/>
      <c r="AA13" s="3">
        <f t="shared" si="6"/>
        <v>20.774234074074073</v>
      </c>
      <c r="AB13" s="3">
        <f t="shared" si="7"/>
        <v>4.9202133333333338</v>
      </c>
      <c r="AC13" s="2">
        <f t="shared" si="8"/>
        <v>0.54669037037037038</v>
      </c>
      <c r="AD13" s="2">
        <f t="shared" si="5"/>
        <v>0.32446814814814817</v>
      </c>
    </row>
    <row r="14" spans="1:30" x14ac:dyDescent="0.35">
      <c r="A14" t="s">
        <v>596</v>
      </c>
      <c r="B14" t="s">
        <v>465</v>
      </c>
      <c r="C14" s="4" t="s">
        <v>84</v>
      </c>
      <c r="D14" s="4" t="s">
        <v>72</v>
      </c>
      <c r="E14">
        <v>33</v>
      </c>
      <c r="F14">
        <v>2515</v>
      </c>
      <c r="G14" s="7">
        <f t="shared" si="0"/>
        <v>76.212121212121218</v>
      </c>
      <c r="H14">
        <v>21</v>
      </c>
      <c r="I14">
        <v>8</v>
      </c>
      <c r="J14">
        <v>26</v>
      </c>
      <c r="K14">
        <v>33</v>
      </c>
      <c r="L14" s="7">
        <v>76.212121212121218</v>
      </c>
      <c r="M14" s="3">
        <v>19.95</v>
      </c>
      <c r="N14" s="3">
        <v>18.43</v>
      </c>
      <c r="O14" s="3">
        <v>5.23</v>
      </c>
      <c r="P14" s="2">
        <v>0.71</v>
      </c>
      <c r="Q14" s="2">
        <v>0.19</v>
      </c>
      <c r="R14" s="2">
        <v>0.49952142743233141</v>
      </c>
      <c r="S14" s="2">
        <v>8.6514999999999995E-2</v>
      </c>
      <c r="T14" s="2">
        <f t="shared" si="1"/>
        <v>0.78787878787878785</v>
      </c>
      <c r="U14">
        <v>12</v>
      </c>
      <c r="V14">
        <v>201</v>
      </c>
      <c r="W14" s="7">
        <f t="shared" si="2"/>
        <v>184.43556055555558</v>
      </c>
      <c r="X14" s="7">
        <f t="shared" si="3"/>
        <v>-16.564439444444417</v>
      </c>
      <c r="Y14" s="2">
        <f t="shared" si="4"/>
        <v>8.9811527638971156E-2</v>
      </c>
      <c r="Z14" s="7"/>
      <c r="AA14" s="3">
        <f t="shared" si="6"/>
        <v>15.369630046296299</v>
      </c>
      <c r="AB14" s="3">
        <f t="shared" si="7"/>
        <v>4.8535673830409367</v>
      </c>
      <c r="AC14" s="2">
        <f t="shared" si="8"/>
        <v>0.40446394858674473</v>
      </c>
      <c r="AD14" s="2">
        <f t="shared" si="5"/>
        <v>0.23779728192007807</v>
      </c>
    </row>
    <row r="15" spans="1:30" x14ac:dyDescent="0.35">
      <c r="A15" t="s">
        <v>567</v>
      </c>
      <c r="B15" t="s">
        <v>310</v>
      </c>
      <c r="C15" s="4" t="s">
        <v>80</v>
      </c>
      <c r="D15" s="4" t="s">
        <v>70</v>
      </c>
      <c r="E15">
        <v>38</v>
      </c>
      <c r="F15">
        <v>3150</v>
      </c>
      <c r="G15" s="7">
        <f t="shared" si="0"/>
        <v>82.89473684210526</v>
      </c>
      <c r="H15">
        <v>13</v>
      </c>
      <c r="I15">
        <v>6</v>
      </c>
      <c r="J15">
        <v>20</v>
      </c>
      <c r="K15">
        <v>38</v>
      </c>
      <c r="L15" s="7">
        <v>82.89473684210526</v>
      </c>
      <c r="M15" s="3">
        <v>12.12</v>
      </c>
      <c r="N15" s="3">
        <v>8.31</v>
      </c>
      <c r="O15" s="3">
        <v>6.79</v>
      </c>
      <c r="P15" s="2">
        <v>0.35</v>
      </c>
      <c r="Q15" s="2">
        <v>0.19</v>
      </c>
      <c r="R15" s="2">
        <v>0.28798486680605417</v>
      </c>
      <c r="S15" s="2">
        <v>0.17595999999999998</v>
      </c>
      <c r="T15" s="2">
        <f t="shared" si="1"/>
        <v>0.52631578947368418</v>
      </c>
      <c r="U15">
        <v>8</v>
      </c>
      <c r="V15">
        <v>182</v>
      </c>
      <c r="W15" s="7">
        <f t="shared" si="2"/>
        <v>181.45694493863007</v>
      </c>
      <c r="X15" s="7">
        <f t="shared" si="3"/>
        <v>-0.54305506136992676</v>
      </c>
      <c r="Y15" s="2">
        <f t="shared" si="4"/>
        <v>2.9927488394207867E-3</v>
      </c>
      <c r="Z15" s="7"/>
      <c r="AA15" s="3">
        <f t="shared" si="6"/>
        <v>22.682118117328759</v>
      </c>
      <c r="AB15" s="3">
        <f t="shared" si="7"/>
        <v>4.7751827615428963</v>
      </c>
      <c r="AC15" s="2">
        <f t="shared" si="8"/>
        <v>0.59689784519286204</v>
      </c>
      <c r="AD15" s="2">
        <f t="shared" si="5"/>
        <v>0.34689784519286204</v>
      </c>
    </row>
    <row r="16" spans="1:30" x14ac:dyDescent="0.35">
      <c r="A16" t="s">
        <v>646</v>
      </c>
      <c r="B16" t="s">
        <v>475</v>
      </c>
      <c r="C16" s="4" t="s">
        <v>91</v>
      </c>
      <c r="D16" s="4" t="s">
        <v>72</v>
      </c>
      <c r="E16">
        <v>38</v>
      </c>
      <c r="F16">
        <v>3143</v>
      </c>
      <c r="G16" s="7">
        <f t="shared" si="0"/>
        <v>82.71052631578948</v>
      </c>
      <c r="H16">
        <v>13</v>
      </c>
      <c r="I16">
        <v>7</v>
      </c>
      <c r="J16">
        <v>31</v>
      </c>
      <c r="K16">
        <v>38</v>
      </c>
      <c r="L16" s="7">
        <v>82.71052631578948</v>
      </c>
      <c r="M16" s="3">
        <v>14.27</v>
      </c>
      <c r="N16" s="3">
        <v>12.75</v>
      </c>
      <c r="O16" s="3">
        <v>6.99</v>
      </c>
      <c r="P16" s="2">
        <v>0.41</v>
      </c>
      <c r="Q16" s="2">
        <v>0.2</v>
      </c>
      <c r="R16" s="2">
        <v>0.31178969617272972</v>
      </c>
      <c r="S16" s="2">
        <v>0.13942499999999999</v>
      </c>
      <c r="T16" s="2">
        <f t="shared" si="1"/>
        <v>0.81578947368421051</v>
      </c>
      <c r="U16">
        <v>7.5</v>
      </c>
      <c r="V16">
        <v>181</v>
      </c>
      <c r="W16" s="7">
        <f t="shared" si="2"/>
        <v>179.92762777777779</v>
      </c>
      <c r="X16" s="7">
        <f t="shared" si="3"/>
        <v>-1.0723722222222136</v>
      </c>
      <c r="Y16" s="2">
        <f t="shared" si="4"/>
        <v>5.9600197894381316E-3</v>
      </c>
      <c r="Z16" s="7"/>
      <c r="AA16" s="3">
        <f t="shared" si="6"/>
        <v>23.990350370370372</v>
      </c>
      <c r="AB16" s="3">
        <f t="shared" si="7"/>
        <v>4.7349375730994154</v>
      </c>
      <c r="AC16" s="2">
        <f t="shared" si="8"/>
        <v>0.63132500974658867</v>
      </c>
      <c r="AD16" s="2">
        <f t="shared" si="5"/>
        <v>0.36465834307992206</v>
      </c>
    </row>
    <row r="17" spans="1:30" x14ac:dyDescent="0.35">
      <c r="A17" t="s">
        <v>608</v>
      </c>
      <c r="B17" t="s">
        <v>157</v>
      </c>
      <c r="C17" s="4" t="s">
        <v>91</v>
      </c>
      <c r="D17" s="4" t="s">
        <v>69</v>
      </c>
      <c r="E17">
        <v>38</v>
      </c>
      <c r="F17">
        <v>3145</v>
      </c>
      <c r="G17" s="7">
        <f t="shared" si="0"/>
        <v>82.763157894736835</v>
      </c>
      <c r="H17">
        <v>4</v>
      </c>
      <c r="I17">
        <v>5</v>
      </c>
      <c r="J17">
        <v>12</v>
      </c>
      <c r="K17">
        <v>38</v>
      </c>
      <c r="L17" s="7">
        <v>82.763157894736835</v>
      </c>
      <c r="M17" s="3">
        <v>5.28</v>
      </c>
      <c r="N17" s="3">
        <v>5.28</v>
      </c>
      <c r="O17" s="3">
        <v>5.04</v>
      </c>
      <c r="P17" s="2">
        <v>0.15</v>
      </c>
      <c r="Q17" s="2">
        <v>0.14000000000000001</v>
      </c>
      <c r="R17" s="2">
        <v>0.31178969617272972</v>
      </c>
      <c r="S17" s="2">
        <v>0.20036249999999997</v>
      </c>
      <c r="T17" s="2">
        <f t="shared" si="1"/>
        <v>0.31578947368421051</v>
      </c>
      <c r="U17">
        <v>6</v>
      </c>
      <c r="V17">
        <v>144</v>
      </c>
      <c r="W17" s="7">
        <f t="shared" si="2"/>
        <v>173.90492548492159</v>
      </c>
      <c r="X17" s="7">
        <f t="shared" si="3"/>
        <v>29.904925484921591</v>
      </c>
      <c r="Y17" s="2">
        <f t="shared" si="4"/>
        <v>0.17196134842951585</v>
      </c>
      <c r="Z17" s="7"/>
      <c r="AA17" s="3">
        <f t="shared" si="6"/>
        <v>28.984154247486931</v>
      </c>
      <c r="AB17" s="3">
        <f t="shared" si="7"/>
        <v>4.5764454074979364</v>
      </c>
      <c r="AC17" s="2">
        <f t="shared" si="8"/>
        <v>0.7627409012496561</v>
      </c>
      <c r="AD17" s="2">
        <f t="shared" si="5"/>
        <v>0.42940756791632273</v>
      </c>
    </row>
    <row r="18" spans="1:30" x14ac:dyDescent="0.35">
      <c r="A18" t="s">
        <v>115</v>
      </c>
      <c r="B18" t="s">
        <v>312</v>
      </c>
      <c r="C18" s="4" t="s">
        <v>75</v>
      </c>
      <c r="D18" s="4" t="s">
        <v>70</v>
      </c>
      <c r="E18">
        <v>38</v>
      </c>
      <c r="F18">
        <v>3185</v>
      </c>
      <c r="G18" s="7">
        <f t="shared" si="0"/>
        <v>83.815789473684205</v>
      </c>
      <c r="H18">
        <v>7</v>
      </c>
      <c r="I18">
        <v>14</v>
      </c>
      <c r="J18">
        <v>23</v>
      </c>
      <c r="K18">
        <v>38</v>
      </c>
      <c r="L18" s="7">
        <v>83.815789473684205</v>
      </c>
      <c r="M18" s="3">
        <v>4.76</v>
      </c>
      <c r="N18" s="3">
        <v>4.76</v>
      </c>
      <c r="O18" s="3">
        <v>16.18</v>
      </c>
      <c r="P18" s="2">
        <v>0.13</v>
      </c>
      <c r="Q18" s="2">
        <v>0.46</v>
      </c>
      <c r="R18" s="2">
        <v>0.20709621584771859</v>
      </c>
      <c r="S18" s="2">
        <v>0.17277999999999999</v>
      </c>
      <c r="T18" s="2">
        <f t="shared" si="1"/>
        <v>0.60526315789473684</v>
      </c>
      <c r="U18">
        <v>7.5</v>
      </c>
      <c r="V18">
        <v>181</v>
      </c>
      <c r="W18" s="7">
        <f t="shared" si="2"/>
        <v>172.14346064665776</v>
      </c>
      <c r="X18" s="7">
        <f t="shared" si="3"/>
        <v>-8.8565393533422423</v>
      </c>
      <c r="Y18" s="2">
        <f t="shared" si="4"/>
        <v>5.14485959563762E-2</v>
      </c>
      <c r="Z18" s="7"/>
      <c r="AA18" s="3">
        <f t="shared" si="6"/>
        <v>22.952461419554368</v>
      </c>
      <c r="AB18" s="3">
        <f t="shared" si="7"/>
        <v>4.5300910696488881</v>
      </c>
      <c r="AC18" s="2">
        <f t="shared" si="8"/>
        <v>0.6040121426198517</v>
      </c>
      <c r="AD18" s="2">
        <f t="shared" si="5"/>
        <v>0.33734547595318509</v>
      </c>
    </row>
    <row r="19" spans="1:30" x14ac:dyDescent="0.35">
      <c r="A19" t="s">
        <v>598</v>
      </c>
      <c r="B19" t="s">
        <v>155</v>
      </c>
      <c r="C19" s="4" t="s">
        <v>84</v>
      </c>
      <c r="D19" s="4" t="s">
        <v>69</v>
      </c>
      <c r="E19">
        <v>33</v>
      </c>
      <c r="F19">
        <v>2774</v>
      </c>
      <c r="G19" s="7">
        <f t="shared" si="0"/>
        <v>84.060606060606062</v>
      </c>
      <c r="H19">
        <v>1</v>
      </c>
      <c r="I19">
        <v>1</v>
      </c>
      <c r="J19">
        <v>11</v>
      </c>
      <c r="K19">
        <v>38</v>
      </c>
      <c r="L19" s="7">
        <v>84.060606060606062</v>
      </c>
      <c r="M19" s="3">
        <v>0.73</v>
      </c>
      <c r="N19" s="3">
        <v>0.73</v>
      </c>
      <c r="O19" s="3">
        <v>1.94</v>
      </c>
      <c r="P19" s="2">
        <v>0.02</v>
      </c>
      <c r="Q19" s="2">
        <v>0.06</v>
      </c>
      <c r="R19" s="2">
        <v>0.49952142743233141</v>
      </c>
      <c r="S19" s="2">
        <v>0.12432749999999999</v>
      </c>
      <c r="T19" s="2">
        <f t="shared" si="1"/>
        <v>0.33333333333333331</v>
      </c>
      <c r="U19">
        <v>6</v>
      </c>
      <c r="V19">
        <v>150</v>
      </c>
      <c r="W19" s="7">
        <f t="shared" si="2"/>
        <v>170.51715540405783</v>
      </c>
      <c r="X19" s="7">
        <f t="shared" si="3"/>
        <v>20.517155404057831</v>
      </c>
      <c r="Y19" s="2">
        <f t="shared" si="4"/>
        <v>0.12032311561520208</v>
      </c>
      <c r="Z19" s="7"/>
      <c r="AA19" s="3">
        <f t="shared" si="6"/>
        <v>28.419525900676305</v>
      </c>
      <c r="AB19" s="3">
        <f t="shared" si="7"/>
        <v>4.4872935632646795</v>
      </c>
      <c r="AC19" s="2">
        <f t="shared" si="8"/>
        <v>0.74788226054411322</v>
      </c>
      <c r="AD19" s="2">
        <f t="shared" si="5"/>
        <v>0.41454892721077991</v>
      </c>
    </row>
    <row r="20" spans="1:30" x14ac:dyDescent="0.35">
      <c r="A20" t="s">
        <v>524</v>
      </c>
      <c r="B20" t="s">
        <v>153</v>
      </c>
      <c r="C20" s="4" t="s">
        <v>80</v>
      </c>
      <c r="D20" s="4" t="s">
        <v>69</v>
      </c>
      <c r="E20">
        <v>35</v>
      </c>
      <c r="F20">
        <v>2968</v>
      </c>
      <c r="G20" s="7">
        <f t="shared" si="0"/>
        <v>84.8</v>
      </c>
      <c r="H20">
        <v>4</v>
      </c>
      <c r="I20">
        <v>4</v>
      </c>
      <c r="J20">
        <v>22</v>
      </c>
      <c r="K20">
        <v>38</v>
      </c>
      <c r="L20" s="7">
        <v>84.8</v>
      </c>
      <c r="M20" s="3">
        <v>1.2</v>
      </c>
      <c r="N20" s="3">
        <v>1.2</v>
      </c>
      <c r="O20" s="3">
        <v>7.71</v>
      </c>
      <c r="P20" s="2">
        <v>0.04</v>
      </c>
      <c r="Q20" s="2">
        <v>0.23</v>
      </c>
      <c r="R20" s="2">
        <v>0.28798486680605417</v>
      </c>
      <c r="S20" s="2">
        <v>0.17056499999999999</v>
      </c>
      <c r="T20" s="2">
        <f t="shared" si="1"/>
        <v>0.62857142857142856</v>
      </c>
      <c r="U20">
        <v>6</v>
      </c>
      <c r="V20">
        <v>158</v>
      </c>
      <c r="W20" s="7">
        <f t="shared" si="2"/>
        <v>170.47607737356785</v>
      </c>
      <c r="X20" s="7">
        <f t="shared" si="3"/>
        <v>12.476077373567847</v>
      </c>
      <c r="Y20" s="2">
        <f t="shared" si="4"/>
        <v>7.3183742644598482E-2</v>
      </c>
      <c r="Z20" s="7"/>
      <c r="AA20" s="3">
        <f t="shared" si="6"/>
        <v>28.412679562261307</v>
      </c>
      <c r="AB20" s="3">
        <f t="shared" si="7"/>
        <v>4.4862125624623115</v>
      </c>
      <c r="AC20" s="2">
        <f t="shared" si="8"/>
        <v>0.74770209374371854</v>
      </c>
      <c r="AD20" s="2">
        <f t="shared" si="5"/>
        <v>0.41436876041038523</v>
      </c>
    </row>
    <row r="21" spans="1:30" x14ac:dyDescent="0.35">
      <c r="A21" t="s">
        <v>616</v>
      </c>
      <c r="B21" t="s">
        <v>305</v>
      </c>
      <c r="C21" s="4" t="s">
        <v>88</v>
      </c>
      <c r="D21" s="4" t="s">
        <v>70</v>
      </c>
      <c r="E21">
        <v>31</v>
      </c>
      <c r="F21">
        <v>2061</v>
      </c>
      <c r="G21" s="7">
        <f t="shared" si="0"/>
        <v>66.483870967741936</v>
      </c>
      <c r="H21">
        <v>12</v>
      </c>
      <c r="I21">
        <v>6</v>
      </c>
      <c r="J21">
        <v>17</v>
      </c>
      <c r="K21">
        <v>38</v>
      </c>
      <c r="L21" s="7">
        <v>66.483870967741936</v>
      </c>
      <c r="M21" s="3">
        <v>8.36</v>
      </c>
      <c r="N21" s="3">
        <v>8.36</v>
      </c>
      <c r="O21" s="3">
        <v>3.97</v>
      </c>
      <c r="P21" s="2">
        <v>0.37</v>
      </c>
      <c r="Q21" s="2">
        <v>0.17</v>
      </c>
      <c r="R21" s="2">
        <v>0.36449470299794445</v>
      </c>
      <c r="S21" s="2">
        <v>0.17277999999999999</v>
      </c>
      <c r="T21" s="2">
        <f t="shared" si="1"/>
        <v>0.54838709677419351</v>
      </c>
      <c r="U21">
        <v>9.5</v>
      </c>
      <c r="V21">
        <v>159</v>
      </c>
      <c r="W21" s="7">
        <f t="shared" si="2"/>
        <v>170.37135226230902</v>
      </c>
      <c r="X21" s="7">
        <f t="shared" si="3"/>
        <v>11.371352262309017</v>
      </c>
      <c r="Y21" s="2">
        <f t="shared" si="4"/>
        <v>6.6744509046340911E-2</v>
      </c>
      <c r="Z21" s="7"/>
      <c r="AA21" s="3">
        <f t="shared" si="6"/>
        <v>17.933826553927265</v>
      </c>
      <c r="AB21" s="3">
        <f t="shared" si="7"/>
        <v>4.4834566384818162</v>
      </c>
      <c r="AC21" s="2">
        <f t="shared" si="8"/>
        <v>0.47194280405071748</v>
      </c>
      <c r="AD21" s="2">
        <f t="shared" si="5"/>
        <v>0.26141648826124381</v>
      </c>
    </row>
    <row r="22" spans="1:30" x14ac:dyDescent="0.35">
      <c r="A22" t="s">
        <v>562</v>
      </c>
      <c r="B22" t="s">
        <v>317</v>
      </c>
      <c r="C22" s="4" t="s">
        <v>79</v>
      </c>
      <c r="D22" s="4" t="s">
        <v>70</v>
      </c>
      <c r="E22">
        <v>38</v>
      </c>
      <c r="F22">
        <v>3420</v>
      </c>
      <c r="G22" s="7">
        <f t="shared" si="0"/>
        <v>90</v>
      </c>
      <c r="H22">
        <v>12</v>
      </c>
      <c r="I22">
        <v>2</v>
      </c>
      <c r="J22">
        <v>24</v>
      </c>
      <c r="K22">
        <v>38</v>
      </c>
      <c r="L22" s="7">
        <v>90</v>
      </c>
      <c r="M22" s="3">
        <v>10.49</v>
      </c>
      <c r="N22" s="3">
        <v>2.12</v>
      </c>
      <c r="O22" s="3">
        <v>3.39</v>
      </c>
      <c r="P22" s="2">
        <v>0.28000000000000003</v>
      </c>
      <c r="Q22" s="2">
        <v>0.09</v>
      </c>
      <c r="R22" s="2">
        <v>0.23249334149310152</v>
      </c>
      <c r="S22" s="2">
        <v>0.17277999999999999</v>
      </c>
      <c r="T22" s="2">
        <f t="shared" si="1"/>
        <v>0.63157894736842102</v>
      </c>
      <c r="U22">
        <v>7</v>
      </c>
      <c r="V22">
        <v>166</v>
      </c>
      <c r="W22" s="7">
        <f t="shared" si="2"/>
        <v>165.72910697673788</v>
      </c>
      <c r="X22" s="7">
        <f t="shared" si="3"/>
        <v>-0.2708930232621185</v>
      </c>
      <c r="Y22" s="2">
        <f t="shared" si="4"/>
        <v>1.6345530860800552E-3</v>
      </c>
      <c r="Z22" s="7"/>
      <c r="AA22" s="3">
        <f t="shared" si="6"/>
        <v>23.675586710962556</v>
      </c>
      <c r="AB22" s="3">
        <f t="shared" si="7"/>
        <v>4.3612922888615229</v>
      </c>
      <c r="AC22" s="2">
        <f t="shared" si="8"/>
        <v>0.62304175555164609</v>
      </c>
      <c r="AD22" s="2">
        <f t="shared" si="5"/>
        <v>0.33732746983736039</v>
      </c>
    </row>
    <row r="23" spans="1:30" x14ac:dyDescent="0.35">
      <c r="B23" t="s">
        <v>13</v>
      </c>
      <c r="C23" s="4" t="s">
        <v>80</v>
      </c>
      <c r="D23" s="4" t="s">
        <v>70</v>
      </c>
      <c r="E23">
        <v>35</v>
      </c>
      <c r="F23">
        <v>2702</v>
      </c>
      <c r="G23" s="7">
        <f t="shared" si="0"/>
        <v>77.2</v>
      </c>
      <c r="H23">
        <v>13</v>
      </c>
      <c r="I23">
        <v>1</v>
      </c>
      <c r="J23">
        <v>12</v>
      </c>
      <c r="K23">
        <v>38</v>
      </c>
      <c r="L23" s="7">
        <v>80</v>
      </c>
      <c r="M23" s="3">
        <v>11.33</v>
      </c>
      <c r="N23" s="3">
        <v>11.33</v>
      </c>
      <c r="O23" s="3">
        <v>1.96</v>
      </c>
      <c r="P23" s="2">
        <v>0.38</v>
      </c>
      <c r="Q23" s="2">
        <v>7.0000000000000007E-2</v>
      </c>
      <c r="R23" s="2">
        <v>0.28798486680605417</v>
      </c>
      <c r="S23" s="2">
        <v>0.17595999999999998</v>
      </c>
      <c r="T23" s="2">
        <f t="shared" si="1"/>
        <v>0.34285714285714286</v>
      </c>
      <c r="U23">
        <v>8</v>
      </c>
      <c r="V23">
        <v>153</v>
      </c>
      <c r="W23" s="7">
        <f t="shared" si="2"/>
        <v>164.55662747831261</v>
      </c>
      <c r="X23" s="7">
        <f t="shared" si="3"/>
        <v>11.556627478312606</v>
      </c>
      <c r="Y23" s="2">
        <f t="shared" si="4"/>
        <v>7.0228878990824528E-2</v>
      </c>
      <c r="Z23" s="7"/>
      <c r="AA23" s="3">
        <f t="shared" si="6"/>
        <v>20.569578434789076</v>
      </c>
      <c r="AB23" s="3">
        <f t="shared" si="7"/>
        <v>4.3304375652187526</v>
      </c>
      <c r="AC23" s="2">
        <f t="shared" si="8"/>
        <v>0.54130469565234407</v>
      </c>
      <c r="AD23" s="2">
        <f t="shared" si="5"/>
        <v>0.29130469565234407</v>
      </c>
    </row>
    <row r="24" spans="1:30" x14ac:dyDescent="0.35">
      <c r="A24" t="s">
        <v>140</v>
      </c>
      <c r="B24" t="s">
        <v>469</v>
      </c>
      <c r="C24" s="4" t="s">
        <v>83</v>
      </c>
      <c r="D24" s="4" t="s">
        <v>72</v>
      </c>
      <c r="E24">
        <v>34</v>
      </c>
      <c r="F24">
        <v>2631</v>
      </c>
      <c r="G24" s="7">
        <f t="shared" si="0"/>
        <v>77.382352941176464</v>
      </c>
      <c r="H24">
        <v>12</v>
      </c>
      <c r="I24">
        <v>6</v>
      </c>
      <c r="J24">
        <v>24</v>
      </c>
      <c r="K24">
        <v>38</v>
      </c>
      <c r="L24" s="7">
        <v>80</v>
      </c>
      <c r="M24" s="3">
        <v>13.74</v>
      </c>
      <c r="N24" s="3">
        <v>12.98</v>
      </c>
      <c r="O24" s="3">
        <v>6.34</v>
      </c>
      <c r="P24" s="2">
        <v>0.47</v>
      </c>
      <c r="Q24" s="2">
        <v>0.22</v>
      </c>
      <c r="R24" s="2">
        <v>0.47229316106643499</v>
      </c>
      <c r="S24" s="2">
        <v>7.7219999999999997E-2</v>
      </c>
      <c r="T24" s="2">
        <f t="shared" si="1"/>
        <v>0.70588235294117652</v>
      </c>
      <c r="U24">
        <v>9.5</v>
      </c>
      <c r="V24">
        <v>160</v>
      </c>
      <c r="W24" s="7">
        <f t="shared" si="2"/>
        <v>185.68472496732025</v>
      </c>
      <c r="X24" s="7">
        <f t="shared" si="3"/>
        <v>25.68472496732025</v>
      </c>
      <c r="Y24" s="2">
        <f t="shared" si="4"/>
        <v>0.13832438275060405</v>
      </c>
      <c r="Z24" s="7"/>
      <c r="AA24" s="3">
        <f t="shared" si="6"/>
        <v>19.545760522875817</v>
      </c>
      <c r="AB24" s="3">
        <f t="shared" si="7"/>
        <v>4.8864401307189542</v>
      </c>
      <c r="AC24" s="2">
        <f t="shared" si="8"/>
        <v>0.51436211902304785</v>
      </c>
      <c r="AD24" s="2">
        <f t="shared" si="5"/>
        <v>0.30383580323357412</v>
      </c>
    </row>
    <row r="25" spans="1:30" x14ac:dyDescent="0.35">
      <c r="A25" t="s">
        <v>532</v>
      </c>
      <c r="B25" t="s">
        <v>594</v>
      </c>
      <c r="C25" s="4" t="s">
        <v>84</v>
      </c>
      <c r="D25" s="4" t="s">
        <v>70</v>
      </c>
      <c r="E25">
        <v>33</v>
      </c>
      <c r="F25">
        <v>2426</v>
      </c>
      <c r="G25" s="7">
        <f t="shared" si="0"/>
        <v>73.515151515151516</v>
      </c>
      <c r="H25">
        <v>6</v>
      </c>
      <c r="I25">
        <v>8</v>
      </c>
      <c r="J25">
        <v>0</v>
      </c>
      <c r="K25">
        <v>36</v>
      </c>
      <c r="L25" s="7">
        <v>73.515151515151516</v>
      </c>
      <c r="M25" s="3">
        <v>8.1300000000000008</v>
      </c>
      <c r="N25" s="3">
        <v>8.1300000000000008</v>
      </c>
      <c r="O25" s="3">
        <v>10.11</v>
      </c>
      <c r="P25" s="2">
        <v>0.3</v>
      </c>
      <c r="Q25" s="2">
        <v>0.38</v>
      </c>
      <c r="R25" s="2">
        <v>0.49952142743233141</v>
      </c>
      <c r="S25" s="2">
        <v>0.12825999999999999</v>
      </c>
      <c r="T25" s="2">
        <f t="shared" si="1"/>
        <v>0</v>
      </c>
      <c r="U25">
        <v>7.5</v>
      </c>
      <c r="V25">
        <v>143</v>
      </c>
      <c r="W25" s="7">
        <f t="shared" si="2"/>
        <v>162.99741138756391</v>
      </c>
      <c r="X25" s="7">
        <f t="shared" si="3"/>
        <v>19.997411387563915</v>
      </c>
      <c r="Y25" s="2">
        <f t="shared" si="4"/>
        <v>0.12268545381997178</v>
      </c>
      <c r="Z25" s="7"/>
      <c r="AA25" s="3">
        <f t="shared" si="6"/>
        <v>21.732988185008523</v>
      </c>
      <c r="AB25" s="3">
        <f t="shared" si="7"/>
        <v>4.2894055628306296</v>
      </c>
      <c r="AC25" s="2">
        <f t="shared" si="8"/>
        <v>0.57192074171075058</v>
      </c>
      <c r="AD25" s="2">
        <f t="shared" si="5"/>
        <v>0.30525407504408392</v>
      </c>
    </row>
    <row r="26" spans="1:30" x14ac:dyDescent="0.35">
      <c r="A26" t="s">
        <v>560</v>
      </c>
      <c r="B26" t="s">
        <v>148</v>
      </c>
      <c r="C26" s="4" t="s">
        <v>78</v>
      </c>
      <c r="D26" s="4" t="s">
        <v>69</v>
      </c>
      <c r="E26">
        <v>31</v>
      </c>
      <c r="F26">
        <v>2764</v>
      </c>
      <c r="G26" s="7">
        <f t="shared" si="0"/>
        <v>89.161290322580641</v>
      </c>
      <c r="H26">
        <v>2</v>
      </c>
      <c r="I26">
        <v>4</v>
      </c>
      <c r="J26">
        <v>21</v>
      </c>
      <c r="K26">
        <v>31</v>
      </c>
      <c r="L26" s="7">
        <v>89.161290322580641</v>
      </c>
      <c r="M26" s="3">
        <v>3.56</v>
      </c>
      <c r="N26" s="3">
        <v>3.56</v>
      </c>
      <c r="O26" s="3">
        <v>3.92</v>
      </c>
      <c r="P26" s="2">
        <v>0.12</v>
      </c>
      <c r="Q26" s="2">
        <v>0.13</v>
      </c>
      <c r="R26" s="2">
        <v>0.40095828778034376</v>
      </c>
      <c r="S26" s="2">
        <v>0.17056499999999999</v>
      </c>
      <c r="T26" s="2">
        <f t="shared" si="1"/>
        <v>0.67741935483870963</v>
      </c>
      <c r="U26">
        <v>6.5</v>
      </c>
      <c r="V26">
        <v>161</v>
      </c>
      <c r="W26" s="7">
        <f t="shared" si="2"/>
        <v>161.52064601809599</v>
      </c>
      <c r="X26" s="7">
        <f t="shared" si="3"/>
        <v>0.52064601809598798</v>
      </c>
      <c r="Y26" s="2">
        <f t="shared" si="4"/>
        <v>3.223402276620769E-3</v>
      </c>
      <c r="Z26" s="7"/>
      <c r="AA26" s="3">
        <f t="shared" si="6"/>
        <v>24.849330156630153</v>
      </c>
      <c r="AB26" s="3">
        <f t="shared" si="7"/>
        <v>4.2505433162656843</v>
      </c>
      <c r="AC26" s="2">
        <f t="shared" si="8"/>
        <v>0.6539297409639514</v>
      </c>
      <c r="AD26" s="2">
        <f t="shared" si="5"/>
        <v>0.34623743327164375</v>
      </c>
    </row>
    <row r="27" spans="1:30" x14ac:dyDescent="0.35">
      <c r="A27" t="s">
        <v>557</v>
      </c>
      <c r="B27" t="s">
        <v>191</v>
      </c>
      <c r="C27" s="4" t="s">
        <v>78</v>
      </c>
      <c r="D27" s="4" t="s">
        <v>69</v>
      </c>
      <c r="E27">
        <v>38</v>
      </c>
      <c r="F27">
        <v>3414</v>
      </c>
      <c r="G27" s="7">
        <f t="shared" si="0"/>
        <v>89.84210526315789</v>
      </c>
      <c r="H27">
        <v>4</v>
      </c>
      <c r="I27">
        <v>0</v>
      </c>
      <c r="J27">
        <v>0</v>
      </c>
      <c r="K27">
        <v>38</v>
      </c>
      <c r="L27" s="7">
        <v>89.84210526315789</v>
      </c>
      <c r="M27" s="3">
        <v>4.55</v>
      </c>
      <c r="N27" s="3">
        <v>4.55</v>
      </c>
      <c r="O27" s="3">
        <v>1.32</v>
      </c>
      <c r="P27" s="2">
        <v>0.12</v>
      </c>
      <c r="Q27" s="2">
        <v>0.03</v>
      </c>
      <c r="R27" s="2">
        <v>0.40095828778034376</v>
      </c>
      <c r="S27" s="2">
        <v>0.17056499999999999</v>
      </c>
      <c r="T27" s="2">
        <f t="shared" si="1"/>
        <v>0</v>
      </c>
      <c r="U27">
        <v>5</v>
      </c>
      <c r="V27">
        <v>120</v>
      </c>
      <c r="W27" s="7">
        <f t="shared" si="2"/>
        <v>161.19018974261223</v>
      </c>
      <c r="X27" s="7">
        <f t="shared" si="3"/>
        <v>41.190189742612233</v>
      </c>
      <c r="Y27" s="2">
        <f t="shared" si="4"/>
        <v>0.25553782031266631</v>
      </c>
      <c r="Z27" s="7"/>
      <c r="AA27" s="3">
        <f t="shared" si="6"/>
        <v>32.238037948522447</v>
      </c>
      <c r="AB27" s="3">
        <f t="shared" si="7"/>
        <v>4.2418470984897958</v>
      </c>
      <c r="AC27" s="2">
        <f t="shared" si="8"/>
        <v>0.8483694196979592</v>
      </c>
      <c r="AD27" s="2">
        <f t="shared" si="5"/>
        <v>0.44836941969795918</v>
      </c>
    </row>
    <row r="28" spans="1:30" x14ac:dyDescent="0.35">
      <c r="A28" t="s">
        <v>585</v>
      </c>
      <c r="B28" t="s">
        <v>154</v>
      </c>
      <c r="C28" s="4" t="s">
        <v>82</v>
      </c>
      <c r="D28" s="4" t="s">
        <v>69</v>
      </c>
      <c r="E28">
        <v>35</v>
      </c>
      <c r="F28">
        <v>3129</v>
      </c>
      <c r="G28" s="7">
        <f t="shared" si="0"/>
        <v>89.4</v>
      </c>
      <c r="H28">
        <v>2</v>
      </c>
      <c r="I28">
        <v>6</v>
      </c>
      <c r="J28">
        <v>22</v>
      </c>
      <c r="K28">
        <v>38</v>
      </c>
      <c r="L28" s="7">
        <v>89.4</v>
      </c>
      <c r="M28" s="3">
        <v>1.18</v>
      </c>
      <c r="N28" s="3">
        <v>1.18</v>
      </c>
      <c r="O28" s="3">
        <v>5.13</v>
      </c>
      <c r="P28" s="2">
        <v>0.03</v>
      </c>
      <c r="Q28" s="2">
        <v>0.15</v>
      </c>
      <c r="R28" s="2">
        <v>0.28400412610928571</v>
      </c>
      <c r="S28" s="2">
        <v>0.18084</v>
      </c>
      <c r="T28" s="2">
        <f t="shared" si="1"/>
        <v>0.62857142857142856</v>
      </c>
      <c r="U28">
        <v>6</v>
      </c>
      <c r="V28">
        <v>146</v>
      </c>
      <c r="W28" s="7">
        <f t="shared" si="2"/>
        <v>159.96282145432571</v>
      </c>
      <c r="X28" s="7">
        <f t="shared" si="3"/>
        <v>13.962821454325706</v>
      </c>
      <c r="Y28" s="2">
        <f t="shared" si="4"/>
        <v>8.728791682580142E-2</v>
      </c>
      <c r="Z28" s="7"/>
      <c r="AA28" s="3">
        <f t="shared" si="6"/>
        <v>26.660470242387618</v>
      </c>
      <c r="AB28" s="3">
        <f t="shared" si="7"/>
        <v>4.2095479330085714</v>
      </c>
      <c r="AC28" s="2">
        <f t="shared" si="8"/>
        <v>0.70159132216809528</v>
      </c>
      <c r="AD28" s="2">
        <f t="shared" si="5"/>
        <v>0.36825798883476191</v>
      </c>
    </row>
    <row r="29" spans="1:30" x14ac:dyDescent="0.35">
      <c r="A29" t="s">
        <v>532</v>
      </c>
      <c r="B29" t="s">
        <v>558</v>
      </c>
      <c r="C29" s="4" t="s">
        <v>78</v>
      </c>
      <c r="D29" s="4" t="s">
        <v>69</v>
      </c>
      <c r="E29">
        <v>37</v>
      </c>
      <c r="F29">
        <v>3240</v>
      </c>
      <c r="G29" s="7">
        <f t="shared" si="0"/>
        <v>87.567567567567565</v>
      </c>
      <c r="H29">
        <v>3</v>
      </c>
      <c r="I29">
        <v>2</v>
      </c>
      <c r="J29">
        <v>0</v>
      </c>
      <c r="K29">
        <v>38</v>
      </c>
      <c r="L29" s="7">
        <v>90</v>
      </c>
      <c r="M29" s="3">
        <v>2.9</v>
      </c>
      <c r="N29" s="3">
        <v>2.9</v>
      </c>
      <c r="O29" s="3">
        <v>2.86</v>
      </c>
      <c r="P29" s="2">
        <v>0.08</v>
      </c>
      <c r="Q29" s="2">
        <v>0.08</v>
      </c>
      <c r="R29" s="2">
        <v>0.40095828778034376</v>
      </c>
      <c r="S29" s="2">
        <v>0.17056499999999999</v>
      </c>
      <c r="T29" s="2">
        <f t="shared" si="1"/>
        <v>0</v>
      </c>
      <c r="U29">
        <v>6</v>
      </c>
      <c r="V29">
        <v>164</v>
      </c>
      <c r="W29" s="7">
        <f t="shared" si="2"/>
        <v>157.82418974261225</v>
      </c>
      <c r="X29" s="7">
        <f t="shared" si="3"/>
        <v>-6.1758102573877522</v>
      </c>
      <c r="Y29" s="2">
        <f t="shared" si="4"/>
        <v>3.9130948604644063E-2</v>
      </c>
      <c r="Z29" s="7"/>
      <c r="AA29" s="3">
        <f t="shared" si="6"/>
        <v>26.304031623768708</v>
      </c>
      <c r="AB29" s="3">
        <f t="shared" si="7"/>
        <v>4.1532681511213747</v>
      </c>
      <c r="AC29" s="2">
        <f t="shared" si="8"/>
        <v>0.69221135852022908</v>
      </c>
      <c r="AD29" s="2">
        <f t="shared" si="5"/>
        <v>0.35887802518689577</v>
      </c>
    </row>
    <row r="30" spans="1:30" x14ac:dyDescent="0.35">
      <c r="A30" t="s">
        <v>583</v>
      </c>
      <c r="B30" t="s">
        <v>328</v>
      </c>
      <c r="C30" s="4" t="s">
        <v>82</v>
      </c>
      <c r="D30" s="4" t="s">
        <v>70</v>
      </c>
      <c r="E30">
        <v>37</v>
      </c>
      <c r="F30">
        <v>2950</v>
      </c>
      <c r="G30" s="7">
        <f t="shared" si="0"/>
        <v>79.729729729729726</v>
      </c>
      <c r="H30">
        <v>12</v>
      </c>
      <c r="I30">
        <v>2</v>
      </c>
      <c r="J30">
        <v>19</v>
      </c>
      <c r="K30">
        <v>38</v>
      </c>
      <c r="L30" s="7">
        <v>79.729729729729726</v>
      </c>
      <c r="M30" s="3">
        <v>8.2899999999999991</v>
      </c>
      <c r="N30" s="3">
        <v>8.2899999999999991</v>
      </c>
      <c r="O30" s="3">
        <v>4.03</v>
      </c>
      <c r="P30" s="2">
        <v>0.25</v>
      </c>
      <c r="Q30" s="2">
        <v>0.12</v>
      </c>
      <c r="R30" s="2">
        <v>0.28400412610928571</v>
      </c>
      <c r="S30" s="2">
        <v>0.12583999999999998</v>
      </c>
      <c r="T30" s="2">
        <f t="shared" si="1"/>
        <v>0.51351351351351349</v>
      </c>
      <c r="U30">
        <v>6.5</v>
      </c>
      <c r="V30">
        <v>141</v>
      </c>
      <c r="W30" s="7">
        <f t="shared" si="2"/>
        <v>155.72224880416485</v>
      </c>
      <c r="X30" s="7">
        <f t="shared" si="3"/>
        <v>14.722248804164849</v>
      </c>
      <c r="Y30" s="2">
        <f t="shared" si="4"/>
        <v>9.4541717174142795E-2</v>
      </c>
      <c r="Z30" s="7"/>
      <c r="AA30" s="3">
        <f t="shared" si="6"/>
        <v>23.957269046794593</v>
      </c>
      <c r="AB30" s="3">
        <f t="shared" si="7"/>
        <v>4.0979539158990752</v>
      </c>
      <c r="AC30" s="2">
        <f t="shared" si="8"/>
        <v>0.63045444859985778</v>
      </c>
      <c r="AD30" s="2">
        <f t="shared" si="5"/>
        <v>0.32276214090755001</v>
      </c>
    </row>
    <row r="31" spans="1:30" x14ac:dyDescent="0.35">
      <c r="A31" t="s">
        <v>565</v>
      </c>
      <c r="B31" t="s">
        <v>163</v>
      </c>
      <c r="C31" s="4" t="s">
        <v>79</v>
      </c>
      <c r="D31" s="4" t="s">
        <v>69</v>
      </c>
      <c r="E31">
        <v>36</v>
      </c>
      <c r="F31">
        <v>3202</v>
      </c>
      <c r="G31" s="7">
        <f t="shared" si="0"/>
        <v>88.944444444444443</v>
      </c>
      <c r="H31">
        <v>3</v>
      </c>
      <c r="I31">
        <v>2</v>
      </c>
      <c r="J31">
        <v>17</v>
      </c>
      <c r="K31">
        <v>38</v>
      </c>
      <c r="L31" s="7">
        <v>88.944444444444443</v>
      </c>
      <c r="M31" s="3">
        <v>2.81</v>
      </c>
      <c r="N31" s="3">
        <v>2.81</v>
      </c>
      <c r="O31" s="3">
        <v>4.72</v>
      </c>
      <c r="P31" s="2">
        <v>0.08</v>
      </c>
      <c r="Q31" s="2">
        <v>0.13</v>
      </c>
      <c r="R31" s="2">
        <v>0.23249334149310152</v>
      </c>
      <c r="S31" s="2">
        <v>0.16748249999999998</v>
      </c>
      <c r="T31" s="2">
        <f t="shared" si="1"/>
        <v>0.47222222222222221</v>
      </c>
      <c r="U31">
        <v>5.5</v>
      </c>
      <c r="V31">
        <v>140</v>
      </c>
      <c r="W31" s="7">
        <f t="shared" si="2"/>
        <v>155.59135661065514</v>
      </c>
      <c r="X31" s="7">
        <f t="shared" si="3"/>
        <v>15.59135661065514</v>
      </c>
      <c r="Y31" s="2">
        <f t="shared" si="4"/>
        <v>0.10020708701493139</v>
      </c>
      <c r="Z31" s="7"/>
      <c r="AA31" s="3">
        <f t="shared" si="6"/>
        <v>28.289337565573661</v>
      </c>
      <c r="AB31" s="3">
        <f t="shared" si="7"/>
        <v>4.0945093844909248</v>
      </c>
      <c r="AC31" s="2">
        <f t="shared" si="8"/>
        <v>0.74445625172562269</v>
      </c>
      <c r="AD31" s="2">
        <f t="shared" si="5"/>
        <v>0.38081988808925904</v>
      </c>
    </row>
    <row r="32" spans="1:30" x14ac:dyDescent="0.35">
      <c r="A32" t="s">
        <v>561</v>
      </c>
      <c r="B32" t="s">
        <v>152</v>
      </c>
      <c r="C32" s="4" t="s">
        <v>78</v>
      </c>
      <c r="D32" s="4" t="s">
        <v>69</v>
      </c>
      <c r="E32">
        <v>38</v>
      </c>
      <c r="F32">
        <v>3405</v>
      </c>
      <c r="G32" s="7">
        <f t="shared" si="0"/>
        <v>89.60526315789474</v>
      </c>
      <c r="H32">
        <v>1</v>
      </c>
      <c r="I32">
        <v>5</v>
      </c>
      <c r="J32">
        <v>11</v>
      </c>
      <c r="K32">
        <v>38</v>
      </c>
      <c r="L32" s="7">
        <v>89.60526315789474</v>
      </c>
      <c r="M32" s="3">
        <v>1.26</v>
      </c>
      <c r="N32" s="3">
        <v>1.26</v>
      </c>
      <c r="O32" s="3">
        <v>2.42</v>
      </c>
      <c r="P32" s="2">
        <v>0.03</v>
      </c>
      <c r="Q32" s="2">
        <v>0.06</v>
      </c>
      <c r="R32" s="2">
        <v>0.40095828778034376</v>
      </c>
      <c r="S32" s="2">
        <v>0.17056499999999999</v>
      </c>
      <c r="T32" s="2">
        <f t="shared" si="1"/>
        <v>0.28947368421052633</v>
      </c>
      <c r="U32">
        <v>6</v>
      </c>
      <c r="V32">
        <v>158</v>
      </c>
      <c r="W32" s="7">
        <f t="shared" si="2"/>
        <v>155.08418974261227</v>
      </c>
      <c r="X32" s="7">
        <f t="shared" si="3"/>
        <v>-2.9158102573877329</v>
      </c>
      <c r="Y32" s="2">
        <f t="shared" si="4"/>
        <v>1.8801466882130278E-2</v>
      </c>
      <c r="Z32" s="7"/>
      <c r="AA32" s="3">
        <f t="shared" si="6"/>
        <v>25.847364957102045</v>
      </c>
      <c r="AB32" s="3">
        <f t="shared" si="7"/>
        <v>4.0811628879634805</v>
      </c>
      <c r="AC32" s="2">
        <f t="shared" si="8"/>
        <v>0.68019381466058004</v>
      </c>
      <c r="AD32" s="2">
        <f t="shared" si="5"/>
        <v>0.34686048132724673</v>
      </c>
    </row>
    <row r="33" spans="1:30" x14ac:dyDescent="0.35">
      <c r="A33" t="s">
        <v>536</v>
      </c>
      <c r="B33" t="s">
        <v>481</v>
      </c>
      <c r="C33" s="4" t="s">
        <v>75</v>
      </c>
      <c r="D33" s="4" t="s">
        <v>72</v>
      </c>
      <c r="E33">
        <v>35</v>
      </c>
      <c r="F33">
        <v>2987</v>
      </c>
      <c r="G33" s="7">
        <f t="shared" si="0"/>
        <v>85.342857142857142</v>
      </c>
      <c r="H33">
        <v>12</v>
      </c>
      <c r="I33">
        <v>3</v>
      </c>
      <c r="J33">
        <v>20</v>
      </c>
      <c r="K33">
        <v>35</v>
      </c>
      <c r="L33" s="7">
        <v>85.342857142857142</v>
      </c>
      <c r="M33" s="3">
        <v>13.55</v>
      </c>
      <c r="N33" s="3">
        <v>8.98</v>
      </c>
      <c r="O33" s="3">
        <v>4.26</v>
      </c>
      <c r="P33" s="2">
        <v>0.41</v>
      </c>
      <c r="Q33" s="2">
        <v>0.13</v>
      </c>
      <c r="R33" s="2">
        <v>0.20709621584771859</v>
      </c>
      <c r="S33" s="2">
        <v>0.11654499999999998</v>
      </c>
      <c r="T33" s="2">
        <f t="shared" si="1"/>
        <v>0.5714285714285714</v>
      </c>
      <c r="U33">
        <v>6.5</v>
      </c>
      <c r="V33">
        <v>141</v>
      </c>
      <c r="W33" s="7">
        <f t="shared" si="2"/>
        <v>153.29436944444444</v>
      </c>
      <c r="X33" s="7">
        <f t="shared" si="3"/>
        <v>12.294369444444442</v>
      </c>
      <c r="Y33" s="2">
        <f t="shared" si="4"/>
        <v>8.0201050364736695E-2</v>
      </c>
      <c r="Z33" s="7"/>
      <c r="AA33" s="3">
        <f t="shared" si="6"/>
        <v>23.583749145299144</v>
      </c>
      <c r="AB33" s="3">
        <f t="shared" si="7"/>
        <v>4.0340623538011693</v>
      </c>
      <c r="AC33" s="2">
        <f t="shared" si="8"/>
        <v>0.62062497750787216</v>
      </c>
      <c r="AD33" s="2">
        <f t="shared" si="5"/>
        <v>0.3129326698155645</v>
      </c>
    </row>
    <row r="34" spans="1:30" x14ac:dyDescent="0.35">
      <c r="A34" t="s">
        <v>648</v>
      </c>
      <c r="B34" t="s">
        <v>216</v>
      </c>
      <c r="C34" s="4" t="s">
        <v>91</v>
      </c>
      <c r="D34" s="4" t="s">
        <v>69</v>
      </c>
      <c r="E34">
        <v>37</v>
      </c>
      <c r="F34">
        <v>3168</v>
      </c>
      <c r="G34" s="7">
        <f t="shared" ref="G34:G65" si="9">F34/E34</f>
        <v>85.621621621621628</v>
      </c>
      <c r="H34">
        <v>4</v>
      </c>
      <c r="I34">
        <v>0</v>
      </c>
      <c r="J34">
        <v>10</v>
      </c>
      <c r="K34">
        <v>38</v>
      </c>
      <c r="L34" s="7">
        <v>88</v>
      </c>
      <c r="M34" s="3">
        <v>3.63</v>
      </c>
      <c r="N34" s="3">
        <v>3.63</v>
      </c>
      <c r="O34" s="3">
        <v>1.57</v>
      </c>
      <c r="P34" s="2">
        <v>0.1</v>
      </c>
      <c r="Q34" s="2">
        <v>0.04</v>
      </c>
      <c r="R34" s="2">
        <v>0.31178969617272972</v>
      </c>
      <c r="S34" s="2">
        <v>0.20036249999999997</v>
      </c>
      <c r="T34" s="2">
        <f t="shared" ref="T34:T65" si="10">J34/E34</f>
        <v>0.27027027027027029</v>
      </c>
      <c r="U34">
        <v>5</v>
      </c>
      <c r="V34">
        <v>120</v>
      </c>
      <c r="W34" s="7">
        <f t="shared" ref="W34:W65" si="11">calcPoints(D34,K34,L34,P34,Q34,R34,S34,T34)</f>
        <v>152.8005290885252</v>
      </c>
      <c r="X34" s="7">
        <f t="shared" ref="X34:X65" si="12">W34-V34</f>
        <v>32.800529088525195</v>
      </c>
      <c r="Y34" s="2">
        <f t="shared" ref="Y34:Y65" si="13">ABS(X34/W34)</f>
        <v>0.21466240519050928</v>
      </c>
      <c r="Z34" s="7"/>
      <c r="AA34" s="3">
        <f t="shared" ref="AA34:AA65" si="14">W34/U34</f>
        <v>30.56010581770504</v>
      </c>
      <c r="AB34" s="3">
        <f t="shared" ref="AB34:AB65" si="15">W34/38</f>
        <v>4.0210665549611893</v>
      </c>
      <c r="AC34" s="2">
        <f t="shared" ref="AC34:AC65" si="16">AB34/U34</f>
        <v>0.80421331099223781</v>
      </c>
      <c r="AD34" s="2">
        <f t="shared" ref="AD34:AD65" si="17">(AB34-2)/U34</f>
        <v>0.40421331099223784</v>
      </c>
    </row>
    <row r="35" spans="1:30" x14ac:dyDescent="0.35">
      <c r="A35" t="s">
        <v>229</v>
      </c>
      <c r="B35" t="s">
        <v>594</v>
      </c>
      <c r="C35" s="4" t="s">
        <v>84</v>
      </c>
      <c r="D35" s="4" t="s">
        <v>70</v>
      </c>
      <c r="E35">
        <v>36</v>
      </c>
      <c r="F35">
        <v>2851</v>
      </c>
      <c r="G35" s="7">
        <f t="shared" si="9"/>
        <v>79.194444444444443</v>
      </c>
      <c r="H35">
        <v>7</v>
      </c>
      <c r="I35">
        <v>7</v>
      </c>
      <c r="J35">
        <v>0</v>
      </c>
      <c r="K35">
        <v>36</v>
      </c>
      <c r="L35" s="7">
        <v>79.194444444444443</v>
      </c>
      <c r="M35" s="3">
        <v>8.1999999999999993</v>
      </c>
      <c r="N35" s="3">
        <v>8.1999999999999993</v>
      </c>
      <c r="O35" s="3">
        <v>8.6300000000000008</v>
      </c>
      <c r="P35" s="2">
        <v>0.26</v>
      </c>
      <c r="Q35" s="2">
        <v>0.27</v>
      </c>
      <c r="R35" s="2">
        <v>0.49952142743233141</v>
      </c>
      <c r="S35" s="2">
        <v>0.12825999999999999</v>
      </c>
      <c r="T35" s="2">
        <f t="shared" si="10"/>
        <v>0</v>
      </c>
      <c r="U35">
        <v>8</v>
      </c>
      <c r="V35">
        <v>154</v>
      </c>
      <c r="W35" s="7">
        <f t="shared" si="11"/>
        <v>152.20552249867504</v>
      </c>
      <c r="X35" s="7">
        <f t="shared" si="12"/>
        <v>-1.7944775013249625</v>
      </c>
      <c r="Y35" s="2">
        <f t="shared" si="13"/>
        <v>1.1789831747665947E-2</v>
      </c>
      <c r="Z35" s="7"/>
      <c r="AA35" s="3">
        <f t="shared" si="14"/>
        <v>19.02569031233438</v>
      </c>
      <c r="AB35" s="3">
        <f t="shared" si="15"/>
        <v>4.0054084868072382</v>
      </c>
      <c r="AC35" s="2">
        <f t="shared" si="16"/>
        <v>0.50067606085090477</v>
      </c>
      <c r="AD35" s="2">
        <f t="shared" si="17"/>
        <v>0.25067606085090477</v>
      </c>
    </row>
    <row r="36" spans="1:30" x14ac:dyDescent="0.35">
      <c r="B36" t="s">
        <v>33</v>
      </c>
      <c r="C36" s="4" t="s">
        <v>84</v>
      </c>
      <c r="D36" s="4" t="s">
        <v>71</v>
      </c>
      <c r="E36">
        <v>38</v>
      </c>
      <c r="F36">
        <v>3420</v>
      </c>
      <c r="G36" s="7">
        <f t="shared" si="9"/>
        <v>90</v>
      </c>
      <c r="H36">
        <v>0</v>
      </c>
      <c r="I36">
        <v>1</v>
      </c>
      <c r="J36">
        <v>0</v>
      </c>
      <c r="K36">
        <v>38</v>
      </c>
      <c r="L36" s="7">
        <v>90</v>
      </c>
      <c r="M36" s="3">
        <v>0</v>
      </c>
      <c r="N36" s="3">
        <v>0</v>
      </c>
      <c r="O36" s="3">
        <v>7.0000000000000007E-2</v>
      </c>
      <c r="P36" s="2">
        <v>0</v>
      </c>
      <c r="Q36" s="2">
        <v>0</v>
      </c>
      <c r="R36" s="2">
        <v>0.49952142743233141</v>
      </c>
      <c r="S36" s="2">
        <v>2.6619999999999998E-2</v>
      </c>
      <c r="T36" s="2">
        <f t="shared" si="10"/>
        <v>0</v>
      </c>
      <c r="U36">
        <v>6</v>
      </c>
      <c r="V36">
        <v>169</v>
      </c>
      <c r="W36" s="7">
        <f t="shared" si="11"/>
        <v>150.91569696971439</v>
      </c>
      <c r="X36" s="7">
        <f t="shared" si="12"/>
        <v>-18.084303030285611</v>
      </c>
      <c r="Y36" s="2">
        <f t="shared" si="13"/>
        <v>0.11983049737970432</v>
      </c>
      <c r="Z36" s="7"/>
      <c r="AA36" s="3">
        <f t="shared" si="14"/>
        <v>25.152616161619065</v>
      </c>
      <c r="AB36" s="3">
        <f t="shared" si="15"/>
        <v>3.9714657097293262</v>
      </c>
      <c r="AC36" s="2">
        <f t="shared" si="16"/>
        <v>0.66191095162155433</v>
      </c>
      <c r="AD36" s="2">
        <f t="shared" si="17"/>
        <v>0.32857761828822102</v>
      </c>
    </row>
    <row r="37" spans="1:30" x14ac:dyDescent="0.35">
      <c r="A37" t="s">
        <v>550</v>
      </c>
      <c r="B37" t="s">
        <v>345</v>
      </c>
      <c r="C37" s="4" t="s">
        <v>77</v>
      </c>
      <c r="D37" s="4" t="s">
        <v>72</v>
      </c>
      <c r="E37">
        <v>37</v>
      </c>
      <c r="F37">
        <v>2379</v>
      </c>
      <c r="G37" s="7">
        <f t="shared" si="9"/>
        <v>64.297297297297291</v>
      </c>
      <c r="H37">
        <v>12</v>
      </c>
      <c r="I37">
        <v>2</v>
      </c>
      <c r="J37">
        <v>13</v>
      </c>
      <c r="K37">
        <v>38</v>
      </c>
      <c r="L37" s="7">
        <v>80</v>
      </c>
      <c r="M37" s="3">
        <v>13.26</v>
      </c>
      <c r="N37" s="3">
        <v>11.74</v>
      </c>
      <c r="O37" s="3">
        <v>3.64</v>
      </c>
      <c r="P37" s="2">
        <v>0.5</v>
      </c>
      <c r="Q37" s="2">
        <v>0.14000000000000001</v>
      </c>
      <c r="R37" s="2">
        <v>0.20048818629108286</v>
      </c>
      <c r="S37" s="2">
        <v>0.14514499999999997</v>
      </c>
      <c r="T37" s="2">
        <f t="shared" si="10"/>
        <v>0.35135135135135137</v>
      </c>
      <c r="U37">
        <v>6.5</v>
      </c>
      <c r="V37">
        <v>122</v>
      </c>
      <c r="W37" s="7">
        <f t="shared" si="11"/>
        <v>165.57806357357356</v>
      </c>
      <c r="X37" s="7">
        <f t="shared" si="12"/>
        <v>43.578063573573559</v>
      </c>
      <c r="Y37" s="2">
        <f t="shared" si="13"/>
        <v>0.26318742128669675</v>
      </c>
      <c r="Z37" s="7"/>
      <c r="AA37" s="3">
        <f t="shared" si="14"/>
        <v>25.473548242088238</v>
      </c>
      <c r="AB37" s="3">
        <f t="shared" si="15"/>
        <v>4.3573174624624622</v>
      </c>
      <c r="AC37" s="2">
        <f t="shared" si="16"/>
        <v>0.67035653268653261</v>
      </c>
      <c r="AD37" s="2">
        <f t="shared" si="17"/>
        <v>0.36266422499422496</v>
      </c>
    </row>
    <row r="38" spans="1:30" x14ac:dyDescent="0.35">
      <c r="A38" t="s">
        <v>574</v>
      </c>
      <c r="B38" t="s">
        <v>165</v>
      </c>
      <c r="C38" s="4" t="s">
        <v>80</v>
      </c>
      <c r="D38" s="4" t="s">
        <v>69</v>
      </c>
      <c r="E38">
        <v>33</v>
      </c>
      <c r="F38">
        <v>2970</v>
      </c>
      <c r="G38" s="7">
        <f t="shared" si="9"/>
        <v>90</v>
      </c>
      <c r="H38">
        <v>1</v>
      </c>
      <c r="I38">
        <v>2</v>
      </c>
      <c r="J38">
        <v>15</v>
      </c>
      <c r="K38">
        <v>38</v>
      </c>
      <c r="L38" s="7">
        <v>90</v>
      </c>
      <c r="M38" s="3">
        <v>2</v>
      </c>
      <c r="N38" s="3">
        <v>2</v>
      </c>
      <c r="O38" s="3">
        <v>1.24</v>
      </c>
      <c r="P38" s="2">
        <v>0.06</v>
      </c>
      <c r="Q38" s="2">
        <v>0.04</v>
      </c>
      <c r="R38" s="2">
        <v>0.28798486680605417</v>
      </c>
      <c r="S38" s="2">
        <v>0.17056499999999999</v>
      </c>
      <c r="T38" s="2">
        <f t="shared" si="10"/>
        <v>0.45454545454545453</v>
      </c>
      <c r="U38">
        <v>5.5</v>
      </c>
      <c r="V38">
        <v>129</v>
      </c>
      <c r="W38" s="7">
        <f t="shared" si="11"/>
        <v>148.80495702724753</v>
      </c>
      <c r="X38" s="7">
        <f t="shared" si="12"/>
        <v>19.804957027247525</v>
      </c>
      <c r="Y38" s="2">
        <f t="shared" si="13"/>
        <v>0.13309339569663031</v>
      </c>
      <c r="Z38" s="7"/>
      <c r="AA38" s="3">
        <f t="shared" si="14"/>
        <v>27.055446732226823</v>
      </c>
      <c r="AB38" s="3">
        <f t="shared" si="15"/>
        <v>3.9159199217696719</v>
      </c>
      <c r="AC38" s="2">
        <f t="shared" si="16"/>
        <v>0.71198544032175848</v>
      </c>
      <c r="AD38" s="2">
        <f t="shared" si="17"/>
        <v>0.34834907668539489</v>
      </c>
    </row>
    <row r="39" spans="1:30" x14ac:dyDescent="0.35">
      <c r="A39" t="s">
        <v>348</v>
      </c>
      <c r="B39" t="s">
        <v>318</v>
      </c>
      <c r="C39" s="4" t="s">
        <v>82</v>
      </c>
      <c r="D39" s="4" t="s">
        <v>70</v>
      </c>
      <c r="E39">
        <v>36</v>
      </c>
      <c r="F39">
        <v>2877</v>
      </c>
      <c r="G39" s="7">
        <f t="shared" si="9"/>
        <v>79.916666666666671</v>
      </c>
      <c r="H39">
        <v>7</v>
      </c>
      <c r="I39">
        <v>7</v>
      </c>
      <c r="J39">
        <v>12</v>
      </c>
      <c r="K39">
        <v>36</v>
      </c>
      <c r="L39" s="7">
        <v>79.916666666666671</v>
      </c>
      <c r="M39" s="3">
        <v>7.37</v>
      </c>
      <c r="N39" s="3">
        <v>5.85</v>
      </c>
      <c r="O39" s="3">
        <v>7.94</v>
      </c>
      <c r="P39" s="2">
        <v>0.23</v>
      </c>
      <c r="Q39" s="2">
        <v>0.25</v>
      </c>
      <c r="R39" s="2">
        <v>0.28400412610928571</v>
      </c>
      <c r="S39" s="2">
        <v>0.18656</v>
      </c>
      <c r="T39" s="2">
        <f t="shared" si="10"/>
        <v>0.33333333333333331</v>
      </c>
      <c r="U39">
        <v>7</v>
      </c>
      <c r="V39">
        <v>137</v>
      </c>
      <c r="W39" s="7">
        <f t="shared" si="11"/>
        <v>148.24465520660095</v>
      </c>
      <c r="X39" s="7">
        <f t="shared" si="12"/>
        <v>11.244655206600953</v>
      </c>
      <c r="Y39" s="2">
        <f t="shared" si="13"/>
        <v>7.5852010927003444E-2</v>
      </c>
      <c r="Z39" s="7"/>
      <c r="AA39" s="3">
        <f t="shared" si="14"/>
        <v>21.177807886657281</v>
      </c>
      <c r="AB39" s="3">
        <f t="shared" si="15"/>
        <v>3.9011751370158145</v>
      </c>
      <c r="AC39" s="2">
        <f t="shared" si="16"/>
        <v>0.55731073385940211</v>
      </c>
      <c r="AD39" s="2">
        <f t="shared" si="17"/>
        <v>0.27159644814511635</v>
      </c>
    </row>
    <row r="40" spans="1:30" x14ac:dyDescent="0.35">
      <c r="A40" t="s">
        <v>563</v>
      </c>
      <c r="B40" t="s">
        <v>316</v>
      </c>
      <c r="C40" s="4" t="s">
        <v>79</v>
      </c>
      <c r="D40" s="4" t="s">
        <v>70</v>
      </c>
      <c r="E40">
        <v>34</v>
      </c>
      <c r="F40">
        <v>3046</v>
      </c>
      <c r="G40" s="7">
        <f t="shared" si="9"/>
        <v>89.588235294117652</v>
      </c>
      <c r="H40">
        <v>10</v>
      </c>
      <c r="I40">
        <v>5</v>
      </c>
      <c r="J40">
        <v>13</v>
      </c>
      <c r="K40">
        <v>38</v>
      </c>
      <c r="L40" s="7">
        <v>89.588235294117652</v>
      </c>
      <c r="M40" s="3">
        <v>6.49</v>
      </c>
      <c r="N40" s="3">
        <v>6.49</v>
      </c>
      <c r="O40" s="3">
        <v>5.4</v>
      </c>
      <c r="P40" s="2">
        <v>0.19</v>
      </c>
      <c r="Q40" s="2">
        <v>0.16</v>
      </c>
      <c r="R40" s="2">
        <v>0.23249334149310152</v>
      </c>
      <c r="S40" s="2">
        <v>0.17277999999999999</v>
      </c>
      <c r="T40" s="2">
        <f t="shared" si="10"/>
        <v>0.38235294117647056</v>
      </c>
      <c r="U40">
        <v>7</v>
      </c>
      <c r="V40">
        <v>143</v>
      </c>
      <c r="W40" s="7">
        <f t="shared" si="11"/>
        <v>146.88990436235878</v>
      </c>
      <c r="X40" s="7">
        <f t="shared" si="12"/>
        <v>3.8899043623587772</v>
      </c>
      <c r="Y40" s="2">
        <f t="shared" si="13"/>
        <v>2.6481767955698822E-2</v>
      </c>
      <c r="Z40" s="7"/>
      <c r="AA40" s="3">
        <f t="shared" si="14"/>
        <v>20.98427205176554</v>
      </c>
      <c r="AB40" s="3">
        <f t="shared" si="15"/>
        <v>3.8655237990094413</v>
      </c>
      <c r="AC40" s="2">
        <f t="shared" si="16"/>
        <v>0.55221768557277728</v>
      </c>
      <c r="AD40" s="2">
        <f t="shared" si="17"/>
        <v>0.26650339985849164</v>
      </c>
    </row>
    <row r="41" spans="1:30" x14ac:dyDescent="0.35">
      <c r="B41" t="s">
        <v>31</v>
      </c>
      <c r="C41" s="4" t="s">
        <v>83</v>
      </c>
      <c r="D41" s="4" t="s">
        <v>71</v>
      </c>
      <c r="E41">
        <v>38</v>
      </c>
      <c r="F41">
        <v>3420</v>
      </c>
      <c r="G41" s="7">
        <f t="shared" si="9"/>
        <v>90</v>
      </c>
      <c r="H41">
        <v>0</v>
      </c>
      <c r="I41">
        <v>0</v>
      </c>
      <c r="J41">
        <v>0</v>
      </c>
      <c r="K41">
        <v>38</v>
      </c>
      <c r="L41" s="7">
        <v>90</v>
      </c>
      <c r="M41" s="3">
        <v>0</v>
      </c>
      <c r="N41" s="3">
        <v>0</v>
      </c>
      <c r="O41" s="3">
        <v>0</v>
      </c>
      <c r="P41" s="2">
        <v>0</v>
      </c>
      <c r="Q41" s="2">
        <v>0</v>
      </c>
      <c r="R41" s="2">
        <v>0.47229316106643499</v>
      </c>
      <c r="S41" s="2">
        <v>2.376E-2</v>
      </c>
      <c r="T41" s="2">
        <f t="shared" si="10"/>
        <v>0</v>
      </c>
      <c r="U41">
        <v>6</v>
      </c>
      <c r="V41">
        <v>176</v>
      </c>
      <c r="W41" s="7">
        <f t="shared" si="11"/>
        <v>146.88568048209811</v>
      </c>
      <c r="X41" s="7">
        <f t="shared" si="12"/>
        <v>-29.11431951790189</v>
      </c>
      <c r="Y41" s="2">
        <f t="shared" si="13"/>
        <v>0.19821074064091793</v>
      </c>
      <c r="Z41" s="7"/>
      <c r="AA41" s="3">
        <f t="shared" si="14"/>
        <v>24.48094674701635</v>
      </c>
      <c r="AB41" s="3">
        <f t="shared" si="15"/>
        <v>3.8654126442657399</v>
      </c>
      <c r="AC41" s="2">
        <f t="shared" si="16"/>
        <v>0.64423544071095662</v>
      </c>
      <c r="AD41" s="2">
        <f t="shared" si="17"/>
        <v>0.3109021073776233</v>
      </c>
    </row>
    <row r="42" spans="1:30" x14ac:dyDescent="0.35">
      <c r="A42" t="s">
        <v>631</v>
      </c>
      <c r="B42" t="s">
        <v>353</v>
      </c>
      <c r="C42" s="4" t="s">
        <v>89</v>
      </c>
      <c r="D42" s="4" t="s">
        <v>70</v>
      </c>
      <c r="E42">
        <v>35</v>
      </c>
      <c r="F42">
        <v>3062</v>
      </c>
      <c r="G42" s="7">
        <f t="shared" si="9"/>
        <v>87.48571428571428</v>
      </c>
      <c r="H42">
        <v>5</v>
      </c>
      <c r="I42">
        <v>6</v>
      </c>
      <c r="J42">
        <v>14</v>
      </c>
      <c r="K42">
        <v>38</v>
      </c>
      <c r="L42" s="7">
        <v>87.48571428571428</v>
      </c>
      <c r="M42" s="3">
        <v>6.85</v>
      </c>
      <c r="N42" s="3">
        <v>6.85</v>
      </c>
      <c r="O42" s="3">
        <v>5.39</v>
      </c>
      <c r="P42" s="2">
        <v>0.2</v>
      </c>
      <c r="Q42" s="2">
        <v>0.16</v>
      </c>
      <c r="R42" s="2">
        <v>0.24618708948998508</v>
      </c>
      <c r="S42" s="2">
        <v>0.23744000000000001</v>
      </c>
      <c r="T42" s="2">
        <f t="shared" si="10"/>
        <v>0.4</v>
      </c>
      <c r="U42">
        <v>6</v>
      </c>
      <c r="V42">
        <v>124</v>
      </c>
      <c r="W42" s="7">
        <f t="shared" si="11"/>
        <v>146.20124019427021</v>
      </c>
      <c r="X42" s="7">
        <f t="shared" si="12"/>
        <v>22.201240194270213</v>
      </c>
      <c r="Y42" s="2">
        <f t="shared" si="13"/>
        <v>0.15185397993046781</v>
      </c>
      <c r="Z42" s="7"/>
      <c r="AA42" s="3">
        <f t="shared" si="14"/>
        <v>24.366873365711701</v>
      </c>
      <c r="AB42" s="3">
        <f t="shared" si="15"/>
        <v>3.8474010577439528</v>
      </c>
      <c r="AC42" s="2">
        <f t="shared" si="16"/>
        <v>0.64123350962399217</v>
      </c>
      <c r="AD42" s="2">
        <f t="shared" si="17"/>
        <v>0.3079001762906588</v>
      </c>
    </row>
    <row r="43" spans="1:30" x14ac:dyDescent="0.35">
      <c r="A43" t="s">
        <v>593</v>
      </c>
      <c r="B43" t="s">
        <v>304</v>
      </c>
      <c r="C43" s="4" t="s">
        <v>84</v>
      </c>
      <c r="D43" s="4" t="s">
        <v>70</v>
      </c>
      <c r="E43">
        <v>31</v>
      </c>
      <c r="F43">
        <v>1866</v>
      </c>
      <c r="G43" s="7">
        <f t="shared" si="9"/>
        <v>60.193548387096776</v>
      </c>
      <c r="H43">
        <v>10</v>
      </c>
      <c r="I43">
        <v>10</v>
      </c>
      <c r="J43">
        <v>13</v>
      </c>
      <c r="K43">
        <v>31</v>
      </c>
      <c r="L43" s="7">
        <v>60.193548387096776</v>
      </c>
      <c r="M43" s="3">
        <v>6.98</v>
      </c>
      <c r="N43" s="3">
        <v>6.98</v>
      </c>
      <c r="O43" s="3">
        <v>8.1</v>
      </c>
      <c r="P43" s="2">
        <v>0.34</v>
      </c>
      <c r="Q43" s="2">
        <v>0.39</v>
      </c>
      <c r="R43" s="2">
        <v>0.49952142743233141</v>
      </c>
      <c r="S43" s="2">
        <v>0.12825999999999999</v>
      </c>
      <c r="T43" s="2">
        <f t="shared" si="10"/>
        <v>0.41935483870967744</v>
      </c>
      <c r="U43">
        <v>9.5</v>
      </c>
      <c r="V43">
        <v>156</v>
      </c>
      <c r="W43" s="7">
        <f t="shared" si="11"/>
        <v>146.01377091706894</v>
      </c>
      <c r="X43" s="7">
        <f t="shared" si="12"/>
        <v>-9.9862290829310609</v>
      </c>
      <c r="Y43" s="2">
        <f t="shared" si="13"/>
        <v>6.8392378473691451E-2</v>
      </c>
      <c r="Z43" s="7"/>
      <c r="AA43" s="3">
        <f t="shared" si="14"/>
        <v>15.369870622849362</v>
      </c>
      <c r="AB43" s="3">
        <f t="shared" si="15"/>
        <v>3.8424676557123405</v>
      </c>
      <c r="AC43" s="2">
        <f t="shared" si="16"/>
        <v>0.40447027954866743</v>
      </c>
      <c r="AD43" s="2">
        <f t="shared" si="17"/>
        <v>0.19394396375919373</v>
      </c>
    </row>
    <row r="44" spans="1:30" x14ac:dyDescent="0.35">
      <c r="A44" t="s">
        <v>528</v>
      </c>
      <c r="B44" t="s">
        <v>468</v>
      </c>
      <c r="C44" s="4" t="s">
        <v>74</v>
      </c>
      <c r="D44" s="4" t="s">
        <v>72</v>
      </c>
      <c r="E44">
        <v>35</v>
      </c>
      <c r="F44">
        <v>2498</v>
      </c>
      <c r="G44" s="7">
        <f t="shared" si="9"/>
        <v>71.371428571428567</v>
      </c>
      <c r="H44">
        <v>13</v>
      </c>
      <c r="I44">
        <v>8</v>
      </c>
      <c r="J44">
        <v>20</v>
      </c>
      <c r="K44">
        <v>35</v>
      </c>
      <c r="L44" s="7">
        <v>71.371428571428567</v>
      </c>
      <c r="M44" s="3">
        <v>12.03</v>
      </c>
      <c r="N44" s="3">
        <v>12.03</v>
      </c>
      <c r="O44" s="3">
        <v>4.0999999999999996</v>
      </c>
      <c r="P44" s="2">
        <v>0.43</v>
      </c>
      <c r="Q44" s="2">
        <v>0.15</v>
      </c>
      <c r="R44" s="2">
        <v>0.34896981428054735</v>
      </c>
      <c r="S44" s="2">
        <v>0.14299999999999999</v>
      </c>
      <c r="T44" s="2">
        <f t="shared" si="10"/>
        <v>0.5714285714285714</v>
      </c>
      <c r="U44">
        <v>9.5</v>
      </c>
      <c r="V44">
        <v>166</v>
      </c>
      <c r="W44" s="7">
        <f t="shared" si="11"/>
        <v>145.22455555555555</v>
      </c>
      <c r="X44" s="7">
        <f t="shared" si="12"/>
        <v>-20.775444444444446</v>
      </c>
      <c r="Y44" s="2">
        <f t="shared" si="13"/>
        <v>0.14305738010330363</v>
      </c>
      <c r="Z44" s="7"/>
      <c r="AA44" s="3">
        <f t="shared" si="14"/>
        <v>15.286795321637427</v>
      </c>
      <c r="AB44" s="3">
        <f t="shared" si="15"/>
        <v>3.8216988304093569</v>
      </c>
      <c r="AC44" s="2">
        <f t="shared" si="16"/>
        <v>0.40228408741151123</v>
      </c>
      <c r="AD44" s="2">
        <f t="shared" si="17"/>
        <v>0.19175777162203755</v>
      </c>
    </row>
    <row r="45" spans="1:30" x14ac:dyDescent="0.35">
      <c r="A45" t="s">
        <v>608</v>
      </c>
      <c r="B45" t="s">
        <v>180</v>
      </c>
      <c r="C45" s="4" t="s">
        <v>86</v>
      </c>
      <c r="D45" s="4" t="s">
        <v>69</v>
      </c>
      <c r="E45">
        <v>36</v>
      </c>
      <c r="F45">
        <v>2965</v>
      </c>
      <c r="G45" s="7">
        <f t="shared" si="9"/>
        <v>82.361111111111114</v>
      </c>
      <c r="H45">
        <v>2</v>
      </c>
      <c r="I45">
        <v>8</v>
      </c>
      <c r="J45">
        <v>0</v>
      </c>
      <c r="K45">
        <v>38</v>
      </c>
      <c r="L45" s="7">
        <v>82.361111111111114</v>
      </c>
      <c r="M45" s="3">
        <v>4.4400000000000004</v>
      </c>
      <c r="N45" s="3">
        <v>2.92</v>
      </c>
      <c r="O45" s="3">
        <v>5.1100000000000003</v>
      </c>
      <c r="P45" s="2">
        <v>0.13</v>
      </c>
      <c r="Q45" s="2">
        <v>0.16</v>
      </c>
      <c r="R45" s="2">
        <v>0.20741467510346001</v>
      </c>
      <c r="S45" s="2">
        <v>0.16542750000000001</v>
      </c>
      <c r="T45" s="2">
        <f t="shared" si="10"/>
        <v>0</v>
      </c>
      <c r="U45">
        <v>5.5</v>
      </c>
      <c r="V45">
        <v>110</v>
      </c>
      <c r="W45" s="7">
        <f t="shared" si="11"/>
        <v>145.05689672683704</v>
      </c>
      <c r="X45" s="7">
        <f t="shared" si="12"/>
        <v>35.056896726837039</v>
      </c>
      <c r="Y45" s="2">
        <f t="shared" si="13"/>
        <v>0.2416768696827577</v>
      </c>
      <c r="Z45" s="7"/>
      <c r="AA45" s="3">
        <f t="shared" si="14"/>
        <v>26.373981223061278</v>
      </c>
      <c r="AB45" s="3">
        <f t="shared" si="15"/>
        <v>3.8172867559693957</v>
      </c>
      <c r="AC45" s="2">
        <f t="shared" si="16"/>
        <v>0.69405213744898109</v>
      </c>
      <c r="AD45" s="2">
        <f t="shared" si="17"/>
        <v>0.33041577381261739</v>
      </c>
    </row>
    <row r="46" spans="1:30" x14ac:dyDescent="0.35">
      <c r="A46" t="s">
        <v>605</v>
      </c>
      <c r="B46" t="s">
        <v>162</v>
      </c>
      <c r="C46" s="4" t="s">
        <v>85</v>
      </c>
      <c r="D46" s="4" t="s">
        <v>69</v>
      </c>
      <c r="E46">
        <v>35</v>
      </c>
      <c r="F46">
        <v>3136</v>
      </c>
      <c r="G46" s="7">
        <f t="shared" si="9"/>
        <v>89.6</v>
      </c>
      <c r="H46">
        <v>0</v>
      </c>
      <c r="I46">
        <v>3</v>
      </c>
      <c r="J46">
        <v>18</v>
      </c>
      <c r="K46">
        <v>38</v>
      </c>
      <c r="L46" s="7">
        <v>89.6</v>
      </c>
      <c r="M46" s="3">
        <v>0.37</v>
      </c>
      <c r="N46" s="3">
        <v>0.37</v>
      </c>
      <c r="O46" s="3">
        <v>2.29</v>
      </c>
      <c r="P46" s="2">
        <v>0.01</v>
      </c>
      <c r="Q46" s="2">
        <v>7.0000000000000007E-2</v>
      </c>
      <c r="R46" s="2">
        <v>0.31306353319569563</v>
      </c>
      <c r="S46" s="2">
        <v>0.21885749999999998</v>
      </c>
      <c r="T46" s="2">
        <f t="shared" si="10"/>
        <v>0.51428571428571423</v>
      </c>
      <c r="U46">
        <v>5.5</v>
      </c>
      <c r="V46">
        <v>120</v>
      </c>
      <c r="W46" s="7">
        <f t="shared" si="11"/>
        <v>145.02632918860289</v>
      </c>
      <c r="X46" s="7">
        <f t="shared" si="12"/>
        <v>25.026329188602887</v>
      </c>
      <c r="Y46" s="2">
        <f t="shared" si="13"/>
        <v>0.17256403943077681</v>
      </c>
      <c r="Z46" s="7"/>
      <c r="AA46" s="3">
        <f t="shared" si="14"/>
        <v>26.368423488836889</v>
      </c>
      <c r="AB46" s="3">
        <f t="shared" si="15"/>
        <v>3.8164823470684972</v>
      </c>
      <c r="AC46" s="2">
        <f t="shared" si="16"/>
        <v>0.69390588128518127</v>
      </c>
      <c r="AD46" s="2">
        <f t="shared" si="17"/>
        <v>0.33026951764881768</v>
      </c>
    </row>
    <row r="47" spans="1:30" x14ac:dyDescent="0.35">
      <c r="A47" t="s">
        <v>618</v>
      </c>
      <c r="B47" t="s">
        <v>306</v>
      </c>
      <c r="C47" s="4" t="s">
        <v>88</v>
      </c>
      <c r="D47" s="4" t="s">
        <v>70</v>
      </c>
      <c r="E47">
        <v>35</v>
      </c>
      <c r="F47">
        <v>2772</v>
      </c>
      <c r="G47" s="7">
        <f t="shared" si="9"/>
        <v>79.2</v>
      </c>
      <c r="H47">
        <v>8</v>
      </c>
      <c r="I47">
        <v>12</v>
      </c>
      <c r="J47">
        <v>15</v>
      </c>
      <c r="K47">
        <v>35</v>
      </c>
      <c r="L47" s="7">
        <v>79.2</v>
      </c>
      <c r="M47" s="3">
        <v>5.66</v>
      </c>
      <c r="N47" s="3">
        <v>5.66</v>
      </c>
      <c r="O47" s="3">
        <v>7.88</v>
      </c>
      <c r="P47" s="2">
        <v>0.18</v>
      </c>
      <c r="Q47" s="2">
        <v>0.26</v>
      </c>
      <c r="R47" s="2">
        <v>0.36449470299794445</v>
      </c>
      <c r="S47" s="2">
        <v>0.17277999999999999</v>
      </c>
      <c r="T47" s="2">
        <f t="shared" si="10"/>
        <v>0.42857142857142855</v>
      </c>
      <c r="U47">
        <v>9</v>
      </c>
      <c r="V47">
        <v>161</v>
      </c>
      <c r="W47" s="7">
        <f t="shared" si="11"/>
        <v>143.45401460492806</v>
      </c>
      <c r="X47" s="7">
        <f t="shared" si="12"/>
        <v>-17.545985395071938</v>
      </c>
      <c r="Y47" s="2">
        <f t="shared" si="13"/>
        <v>0.12231087044439663</v>
      </c>
      <c r="Z47" s="7"/>
      <c r="AA47" s="3">
        <f t="shared" si="14"/>
        <v>15.939334956103117</v>
      </c>
      <c r="AB47" s="3">
        <f t="shared" si="15"/>
        <v>3.7751056474981071</v>
      </c>
      <c r="AC47" s="2">
        <f t="shared" si="16"/>
        <v>0.41945618305534521</v>
      </c>
      <c r="AD47" s="2">
        <f t="shared" si="17"/>
        <v>0.197233960833123</v>
      </c>
    </row>
    <row r="48" spans="1:30" x14ac:dyDescent="0.35">
      <c r="A48" t="s">
        <v>557</v>
      </c>
      <c r="B48" t="s">
        <v>330</v>
      </c>
      <c r="C48" s="4" t="s">
        <v>87</v>
      </c>
      <c r="D48" s="4" t="s">
        <v>70</v>
      </c>
      <c r="E48">
        <v>38</v>
      </c>
      <c r="F48">
        <v>3283</v>
      </c>
      <c r="G48" s="7">
        <f t="shared" si="9"/>
        <v>86.39473684210526</v>
      </c>
      <c r="H48">
        <v>6</v>
      </c>
      <c r="I48">
        <v>4</v>
      </c>
      <c r="J48">
        <v>12</v>
      </c>
      <c r="K48">
        <v>38</v>
      </c>
      <c r="L48" s="7">
        <v>86.39473684210526</v>
      </c>
      <c r="M48" s="3">
        <v>7.91</v>
      </c>
      <c r="N48" s="3">
        <v>7.91</v>
      </c>
      <c r="O48" s="3">
        <v>5.31</v>
      </c>
      <c r="P48" s="2">
        <v>0.22</v>
      </c>
      <c r="Q48" s="2">
        <v>0.15</v>
      </c>
      <c r="R48" s="2">
        <v>0.18161947538840026</v>
      </c>
      <c r="S48" s="2">
        <v>0.21517999999999998</v>
      </c>
      <c r="T48" s="2">
        <f t="shared" si="10"/>
        <v>0.31578947368421051</v>
      </c>
      <c r="U48">
        <v>6.5</v>
      </c>
      <c r="V48">
        <v>137</v>
      </c>
      <c r="W48" s="7">
        <f t="shared" si="11"/>
        <v>143.26525562031478</v>
      </c>
      <c r="X48" s="7">
        <f t="shared" si="12"/>
        <v>6.2652556203147753</v>
      </c>
      <c r="Y48" s="2">
        <f t="shared" si="13"/>
        <v>4.3731856640238827E-2</v>
      </c>
      <c r="Z48" s="7"/>
      <c r="AA48" s="3">
        <f t="shared" si="14"/>
        <v>22.040808556971506</v>
      </c>
      <c r="AB48" s="3">
        <f t="shared" si="15"/>
        <v>3.7701383057977571</v>
      </c>
      <c r="AC48" s="2">
        <f t="shared" si="16"/>
        <v>0.58002127781503954</v>
      </c>
      <c r="AD48" s="2">
        <f t="shared" si="17"/>
        <v>0.27232897012273188</v>
      </c>
    </row>
    <row r="49" spans="1:30" x14ac:dyDescent="0.35">
      <c r="A49" t="s">
        <v>621</v>
      </c>
      <c r="B49" t="s">
        <v>98</v>
      </c>
      <c r="C49" s="4" t="s">
        <v>88</v>
      </c>
      <c r="D49" s="4" t="s">
        <v>71</v>
      </c>
      <c r="E49">
        <v>33</v>
      </c>
      <c r="F49">
        <v>2970</v>
      </c>
      <c r="G49" s="7">
        <f t="shared" si="9"/>
        <v>90</v>
      </c>
      <c r="H49">
        <v>0</v>
      </c>
      <c r="I49">
        <v>0</v>
      </c>
      <c r="J49">
        <v>10</v>
      </c>
      <c r="K49">
        <v>38</v>
      </c>
      <c r="L49" s="7">
        <v>90</v>
      </c>
      <c r="M49" s="3">
        <v>0</v>
      </c>
      <c r="N49" s="3">
        <v>0</v>
      </c>
      <c r="O49" s="3">
        <v>0</v>
      </c>
      <c r="P49" s="2">
        <v>0</v>
      </c>
      <c r="Q49" s="2">
        <v>0</v>
      </c>
      <c r="R49" s="2">
        <v>0.36449470299794445</v>
      </c>
      <c r="S49" s="2">
        <v>3.5859999999999996E-2</v>
      </c>
      <c r="T49" s="2">
        <f t="shared" si="10"/>
        <v>0.30303030303030304</v>
      </c>
      <c r="U49">
        <v>5.5</v>
      </c>
      <c r="V49">
        <v>145</v>
      </c>
      <c r="W49" s="7">
        <f t="shared" si="11"/>
        <v>141.55566637083908</v>
      </c>
      <c r="X49" s="7">
        <f t="shared" si="12"/>
        <v>-3.4443336291609228</v>
      </c>
      <c r="Y49" s="2">
        <f t="shared" si="13"/>
        <v>2.4332008159515587E-2</v>
      </c>
      <c r="Z49" s="7"/>
      <c r="AA49" s="3">
        <f t="shared" si="14"/>
        <v>25.737393885607105</v>
      </c>
      <c r="AB49" s="3">
        <f t="shared" si="15"/>
        <v>3.7251491150220808</v>
      </c>
      <c r="AC49" s="2">
        <f t="shared" si="16"/>
        <v>0.67729983909492375</v>
      </c>
      <c r="AD49" s="2">
        <f t="shared" si="17"/>
        <v>0.31366347545856016</v>
      </c>
    </row>
    <row r="50" spans="1:30" x14ac:dyDescent="0.35">
      <c r="A50" t="s">
        <v>584</v>
      </c>
      <c r="B50" t="s">
        <v>167</v>
      </c>
      <c r="C50" s="4" t="s">
        <v>82</v>
      </c>
      <c r="D50" s="4" t="s">
        <v>69</v>
      </c>
      <c r="E50">
        <v>31</v>
      </c>
      <c r="F50">
        <v>2599</v>
      </c>
      <c r="G50" s="7">
        <f t="shared" si="9"/>
        <v>83.838709677419359</v>
      </c>
      <c r="H50">
        <v>3</v>
      </c>
      <c r="I50">
        <v>0</v>
      </c>
      <c r="J50">
        <v>10</v>
      </c>
      <c r="K50">
        <v>38</v>
      </c>
      <c r="L50" s="7">
        <v>83.838709677419359</v>
      </c>
      <c r="M50" s="3">
        <v>1.86</v>
      </c>
      <c r="N50" s="3">
        <v>1.86</v>
      </c>
      <c r="O50" s="3">
        <v>0.67</v>
      </c>
      <c r="P50" s="2">
        <v>0.06</v>
      </c>
      <c r="Q50" s="2">
        <v>0.02</v>
      </c>
      <c r="R50" s="2">
        <v>0.28400412610928571</v>
      </c>
      <c r="S50" s="2">
        <v>0.18084</v>
      </c>
      <c r="T50" s="2">
        <f t="shared" si="10"/>
        <v>0.32258064516129031</v>
      </c>
      <c r="U50">
        <v>5.5</v>
      </c>
      <c r="V50">
        <v>92</v>
      </c>
      <c r="W50" s="7">
        <f t="shared" si="11"/>
        <v>139.42216953420285</v>
      </c>
      <c r="X50" s="7">
        <f t="shared" si="12"/>
        <v>47.422169534202851</v>
      </c>
      <c r="Y50" s="2">
        <f t="shared" si="13"/>
        <v>0.34013363651301748</v>
      </c>
      <c r="Z50" s="7"/>
      <c r="AA50" s="3">
        <f t="shared" si="14"/>
        <v>25.349485369855064</v>
      </c>
      <c r="AB50" s="3">
        <f t="shared" si="15"/>
        <v>3.669004461426391</v>
      </c>
      <c r="AC50" s="2">
        <f t="shared" si="16"/>
        <v>0.66709172025934382</v>
      </c>
      <c r="AD50" s="2">
        <f t="shared" si="17"/>
        <v>0.30345535662298018</v>
      </c>
    </row>
    <row r="51" spans="1:30" x14ac:dyDescent="0.35">
      <c r="A51" t="s">
        <v>647</v>
      </c>
      <c r="B51" t="s">
        <v>337</v>
      </c>
      <c r="C51" s="4" t="s">
        <v>91</v>
      </c>
      <c r="D51" s="4" t="s">
        <v>72</v>
      </c>
      <c r="E51">
        <v>33</v>
      </c>
      <c r="F51">
        <v>2402</v>
      </c>
      <c r="G51" s="7">
        <f t="shared" si="9"/>
        <v>72.787878787878782</v>
      </c>
      <c r="H51">
        <v>9</v>
      </c>
      <c r="I51">
        <v>5</v>
      </c>
      <c r="J51">
        <v>13</v>
      </c>
      <c r="K51">
        <v>38</v>
      </c>
      <c r="L51" s="7">
        <v>80</v>
      </c>
      <c r="M51" s="3">
        <v>8.91</v>
      </c>
      <c r="N51" s="3">
        <v>8.91</v>
      </c>
      <c r="O51" s="3">
        <v>5.54</v>
      </c>
      <c r="P51" s="2">
        <v>0.33</v>
      </c>
      <c r="Q51" s="2">
        <v>0.21</v>
      </c>
      <c r="R51" s="2">
        <v>0.31178969617272972</v>
      </c>
      <c r="S51" s="2">
        <v>0.13942499999999999</v>
      </c>
      <c r="T51" s="2">
        <f t="shared" si="10"/>
        <v>0.39393939393939392</v>
      </c>
      <c r="U51">
        <v>6.5</v>
      </c>
      <c r="V51">
        <v>139</v>
      </c>
      <c r="W51" s="7">
        <f t="shared" si="11"/>
        <v>151.53821363636365</v>
      </c>
      <c r="X51" s="7">
        <f t="shared" si="12"/>
        <v>12.53821363636365</v>
      </c>
      <c r="Y51" s="2">
        <f t="shared" si="13"/>
        <v>8.2739616203017827E-2</v>
      </c>
      <c r="Z51" s="7"/>
      <c r="AA51" s="3">
        <f t="shared" si="14"/>
        <v>23.31357132867133</v>
      </c>
      <c r="AB51" s="3">
        <f t="shared" si="15"/>
        <v>3.9878477272727277</v>
      </c>
      <c r="AC51" s="2">
        <f t="shared" si="16"/>
        <v>0.61351503496503501</v>
      </c>
      <c r="AD51" s="2">
        <f t="shared" si="17"/>
        <v>0.30582272727272736</v>
      </c>
    </row>
    <row r="52" spans="1:30" x14ac:dyDescent="0.35">
      <c r="A52" t="s">
        <v>602</v>
      </c>
      <c r="B52" t="s">
        <v>473</v>
      </c>
      <c r="C52" s="4" t="s">
        <v>85</v>
      </c>
      <c r="D52" s="4" t="s">
        <v>72</v>
      </c>
      <c r="E52">
        <v>33</v>
      </c>
      <c r="F52">
        <v>2360</v>
      </c>
      <c r="G52" s="7">
        <f t="shared" si="9"/>
        <v>71.515151515151516</v>
      </c>
      <c r="H52">
        <v>10</v>
      </c>
      <c r="I52">
        <v>6</v>
      </c>
      <c r="J52">
        <v>14</v>
      </c>
      <c r="K52">
        <v>33</v>
      </c>
      <c r="L52" s="7">
        <v>71.515151515151516</v>
      </c>
      <c r="M52" s="3">
        <v>11.61</v>
      </c>
      <c r="N52" s="3">
        <v>11.61</v>
      </c>
      <c r="O52" s="3">
        <v>5.27</v>
      </c>
      <c r="P52" s="2">
        <v>0.44</v>
      </c>
      <c r="Q52" s="2">
        <v>0.2</v>
      </c>
      <c r="R52" s="2">
        <v>0.31306353319569563</v>
      </c>
      <c r="S52" s="2">
        <v>0.15229499999999999</v>
      </c>
      <c r="T52" s="2">
        <f t="shared" si="10"/>
        <v>0.42424242424242425</v>
      </c>
      <c r="U52">
        <v>8.5</v>
      </c>
      <c r="V52">
        <v>128</v>
      </c>
      <c r="W52" s="7">
        <f t="shared" si="11"/>
        <v>136.85870944444443</v>
      </c>
      <c r="X52" s="7">
        <f t="shared" si="12"/>
        <v>8.858709444444429</v>
      </c>
      <c r="Y52" s="2">
        <f t="shared" si="13"/>
        <v>6.4728868775724341E-2</v>
      </c>
      <c r="Z52" s="7"/>
      <c r="AA52" s="3">
        <f t="shared" si="14"/>
        <v>16.101024640522873</v>
      </c>
      <c r="AB52" s="3">
        <f t="shared" si="15"/>
        <v>3.6015449853801167</v>
      </c>
      <c r="AC52" s="2">
        <f t="shared" si="16"/>
        <v>0.42371117475060194</v>
      </c>
      <c r="AD52" s="2">
        <f t="shared" si="17"/>
        <v>0.18841705710354315</v>
      </c>
    </row>
    <row r="53" spans="1:30" x14ac:dyDescent="0.35">
      <c r="A53" t="s">
        <v>545</v>
      </c>
      <c r="B53" t="s">
        <v>486</v>
      </c>
      <c r="C53" s="4" t="s">
        <v>76</v>
      </c>
      <c r="D53" s="4" t="s">
        <v>72</v>
      </c>
      <c r="E53">
        <v>38</v>
      </c>
      <c r="F53">
        <v>2517</v>
      </c>
      <c r="G53" s="7">
        <f t="shared" si="9"/>
        <v>66.236842105263165</v>
      </c>
      <c r="H53">
        <v>13</v>
      </c>
      <c r="I53">
        <v>1</v>
      </c>
      <c r="J53">
        <v>16</v>
      </c>
      <c r="K53">
        <v>38</v>
      </c>
      <c r="L53" s="7">
        <v>66.236842105263165</v>
      </c>
      <c r="M53" s="3">
        <v>11.54</v>
      </c>
      <c r="N53" s="3">
        <v>8.5</v>
      </c>
      <c r="O53" s="3">
        <v>1.1200000000000001</v>
      </c>
      <c r="P53" s="2">
        <v>0.41</v>
      </c>
      <c r="Q53" s="2">
        <v>0.04</v>
      </c>
      <c r="R53" s="2">
        <v>0.17795719394737325</v>
      </c>
      <c r="S53" s="2">
        <v>0.12798499999999999</v>
      </c>
      <c r="T53" s="2">
        <f t="shared" si="10"/>
        <v>0.42105263157894735</v>
      </c>
      <c r="U53">
        <v>6</v>
      </c>
      <c r="V53">
        <v>129</v>
      </c>
      <c r="W53" s="7">
        <f t="shared" si="11"/>
        <v>136.35790333333333</v>
      </c>
      <c r="X53" s="7">
        <f t="shared" si="12"/>
        <v>7.3579033333333257</v>
      </c>
      <c r="Y53" s="2">
        <f t="shared" si="13"/>
        <v>5.3960226385606588E-2</v>
      </c>
      <c r="Z53" s="7"/>
      <c r="AA53" s="3">
        <f t="shared" si="14"/>
        <v>22.726317222222221</v>
      </c>
      <c r="AB53" s="3">
        <f t="shared" si="15"/>
        <v>3.5883658771929823</v>
      </c>
      <c r="AC53" s="2">
        <f t="shared" si="16"/>
        <v>0.59806097953216375</v>
      </c>
      <c r="AD53" s="2">
        <f t="shared" si="17"/>
        <v>0.26472764619883038</v>
      </c>
    </row>
    <row r="54" spans="1:30" x14ac:dyDescent="0.35">
      <c r="A54" t="s">
        <v>551</v>
      </c>
      <c r="B54" t="s">
        <v>482</v>
      </c>
      <c r="C54" s="4" t="s">
        <v>77</v>
      </c>
      <c r="D54" s="4" t="s">
        <v>72</v>
      </c>
      <c r="E54">
        <v>38</v>
      </c>
      <c r="F54">
        <v>2603</v>
      </c>
      <c r="G54" s="7">
        <f t="shared" si="9"/>
        <v>68.5</v>
      </c>
      <c r="H54">
        <v>10</v>
      </c>
      <c r="I54">
        <v>2</v>
      </c>
      <c r="J54">
        <v>17</v>
      </c>
      <c r="K54">
        <v>38</v>
      </c>
      <c r="L54" s="7">
        <v>68.5</v>
      </c>
      <c r="M54" s="3">
        <v>9.1300000000000008</v>
      </c>
      <c r="N54" s="3">
        <v>9.1300000000000008</v>
      </c>
      <c r="O54" s="3">
        <v>3.65</v>
      </c>
      <c r="P54" s="2">
        <v>0.32</v>
      </c>
      <c r="Q54" s="2">
        <v>0.13</v>
      </c>
      <c r="R54" s="2">
        <v>0.20048818629108286</v>
      </c>
      <c r="S54" s="2">
        <v>0.14514499999999997</v>
      </c>
      <c r="T54" s="2">
        <f t="shared" si="10"/>
        <v>0.44736842105263158</v>
      </c>
      <c r="U54">
        <v>6.5</v>
      </c>
      <c r="V54">
        <v>131</v>
      </c>
      <c r="W54" s="7">
        <f t="shared" si="11"/>
        <v>135.7846011111111</v>
      </c>
      <c r="X54" s="7">
        <f t="shared" si="12"/>
        <v>4.7846011111111011</v>
      </c>
      <c r="Y54" s="2">
        <f t="shared" si="13"/>
        <v>3.5236698947886683E-2</v>
      </c>
      <c r="Z54" s="7"/>
      <c r="AA54" s="3">
        <f t="shared" si="14"/>
        <v>20.889938632478632</v>
      </c>
      <c r="AB54" s="3">
        <f t="shared" si="15"/>
        <v>3.5732789766081869</v>
      </c>
      <c r="AC54" s="2">
        <f t="shared" si="16"/>
        <v>0.54973522717049028</v>
      </c>
      <c r="AD54" s="2">
        <f t="shared" si="17"/>
        <v>0.2420429194781826</v>
      </c>
    </row>
    <row r="55" spans="1:30" x14ac:dyDescent="0.35">
      <c r="B55" t="s">
        <v>32</v>
      </c>
      <c r="C55" s="4" t="s">
        <v>78</v>
      </c>
      <c r="D55" s="4" t="s">
        <v>71</v>
      </c>
      <c r="E55">
        <v>36</v>
      </c>
      <c r="F55">
        <v>3240</v>
      </c>
      <c r="G55" s="7">
        <f t="shared" si="9"/>
        <v>90</v>
      </c>
      <c r="H55">
        <v>0</v>
      </c>
      <c r="I55">
        <v>0</v>
      </c>
      <c r="J55">
        <v>0</v>
      </c>
      <c r="K55">
        <v>38</v>
      </c>
      <c r="L55" s="7">
        <v>90</v>
      </c>
      <c r="M55" s="3">
        <v>0</v>
      </c>
      <c r="N55" s="3">
        <v>0</v>
      </c>
      <c r="O55" s="3">
        <v>0</v>
      </c>
      <c r="P55" s="2">
        <v>0</v>
      </c>
      <c r="Q55" s="2">
        <v>0</v>
      </c>
      <c r="R55" s="2">
        <v>0.40095828778034376</v>
      </c>
      <c r="S55" s="2">
        <v>3.6519999999999997E-2</v>
      </c>
      <c r="T55" s="2">
        <f t="shared" si="10"/>
        <v>0</v>
      </c>
      <c r="U55">
        <v>5.5</v>
      </c>
      <c r="V55">
        <v>142</v>
      </c>
      <c r="W55" s="7">
        <f t="shared" si="11"/>
        <v>135.55789974261225</v>
      </c>
      <c r="X55" s="7">
        <f t="shared" si="12"/>
        <v>-6.4421002573877502</v>
      </c>
      <c r="Y55" s="2">
        <f t="shared" si="13"/>
        <v>4.7522868601679091E-2</v>
      </c>
      <c r="Z55" s="7"/>
      <c r="AA55" s="3">
        <f t="shared" si="14"/>
        <v>24.646890862293137</v>
      </c>
      <c r="AB55" s="3">
        <f t="shared" si="15"/>
        <v>3.5673131511213749</v>
      </c>
      <c r="AC55" s="2">
        <f t="shared" si="16"/>
        <v>0.64860239111297724</v>
      </c>
      <c r="AD55" s="2">
        <f t="shared" si="17"/>
        <v>0.28496602747661365</v>
      </c>
    </row>
    <row r="56" spans="1:30" x14ac:dyDescent="0.35">
      <c r="A56" t="s">
        <v>622</v>
      </c>
      <c r="B56" t="s">
        <v>183</v>
      </c>
      <c r="C56" s="4" t="s">
        <v>88</v>
      </c>
      <c r="D56" s="4" t="s">
        <v>69</v>
      </c>
      <c r="E56">
        <v>34</v>
      </c>
      <c r="F56">
        <v>2926</v>
      </c>
      <c r="G56" s="7">
        <f t="shared" si="9"/>
        <v>86.058823529411768</v>
      </c>
      <c r="H56">
        <v>0</v>
      </c>
      <c r="I56">
        <v>0</v>
      </c>
      <c r="J56">
        <v>0</v>
      </c>
      <c r="K56">
        <v>38</v>
      </c>
      <c r="L56" s="7">
        <v>86.058823529411768</v>
      </c>
      <c r="M56" s="3">
        <v>0.99</v>
      </c>
      <c r="N56" s="3">
        <v>0.99</v>
      </c>
      <c r="O56" s="3">
        <v>0.49</v>
      </c>
      <c r="P56" s="2">
        <v>0.03</v>
      </c>
      <c r="Q56" s="2">
        <v>0.02</v>
      </c>
      <c r="R56" s="2">
        <v>0.36449470299794445</v>
      </c>
      <c r="S56" s="2">
        <v>0.16748249999999998</v>
      </c>
      <c r="T56" s="2">
        <f t="shared" si="10"/>
        <v>0</v>
      </c>
      <c r="U56">
        <v>5.5</v>
      </c>
      <c r="V56">
        <v>107</v>
      </c>
      <c r="W56" s="7">
        <f t="shared" si="11"/>
        <v>133.75948730666795</v>
      </c>
      <c r="X56" s="7">
        <f t="shared" si="12"/>
        <v>26.75948730666795</v>
      </c>
      <c r="Y56" s="2">
        <f t="shared" si="13"/>
        <v>0.20005674248225069</v>
      </c>
      <c r="Z56" s="7"/>
      <c r="AA56" s="3">
        <f t="shared" si="14"/>
        <v>24.319906783030536</v>
      </c>
      <c r="AB56" s="3">
        <f t="shared" si="15"/>
        <v>3.5199865080702093</v>
      </c>
      <c r="AC56" s="2">
        <f t="shared" si="16"/>
        <v>0.63999754692185629</v>
      </c>
      <c r="AD56" s="2">
        <f t="shared" si="17"/>
        <v>0.27636118328549258</v>
      </c>
    </row>
    <row r="57" spans="1:30" x14ac:dyDescent="0.35">
      <c r="A57" t="s">
        <v>532</v>
      </c>
      <c r="B57" t="s">
        <v>321</v>
      </c>
      <c r="C57" s="4" t="s">
        <v>75</v>
      </c>
      <c r="D57" s="4" t="s">
        <v>70</v>
      </c>
      <c r="E57">
        <v>30</v>
      </c>
      <c r="F57">
        <v>2317</v>
      </c>
      <c r="G57" s="7">
        <f t="shared" si="9"/>
        <v>77.233333333333334</v>
      </c>
      <c r="H57">
        <v>7</v>
      </c>
      <c r="I57">
        <v>5</v>
      </c>
      <c r="J57">
        <v>0</v>
      </c>
      <c r="K57">
        <v>36</v>
      </c>
      <c r="L57" s="7">
        <v>77.233333333333334</v>
      </c>
      <c r="M57" s="3">
        <v>6.47</v>
      </c>
      <c r="N57" s="3">
        <v>6.47</v>
      </c>
      <c r="O57" s="3">
        <v>5.88</v>
      </c>
      <c r="P57" s="2">
        <v>0.25</v>
      </c>
      <c r="Q57" s="2">
        <v>0.23</v>
      </c>
      <c r="R57" s="2">
        <v>0.20709621584771859</v>
      </c>
      <c r="S57" s="2">
        <v>0.17277999999999999</v>
      </c>
      <c r="T57" s="2">
        <f t="shared" si="10"/>
        <v>0</v>
      </c>
      <c r="U57">
        <v>6.5</v>
      </c>
      <c r="V57">
        <v>123</v>
      </c>
      <c r="W57" s="7">
        <f t="shared" si="11"/>
        <v>133.16845043718453</v>
      </c>
      <c r="X57" s="7">
        <f t="shared" si="12"/>
        <v>10.168450437184532</v>
      </c>
      <c r="Y57" s="2">
        <f t="shared" si="13"/>
        <v>7.6357803997884499E-2</v>
      </c>
      <c r="Z57" s="7"/>
      <c r="AA57" s="3">
        <f t="shared" si="14"/>
        <v>20.487453913413006</v>
      </c>
      <c r="AB57" s="3">
        <f t="shared" si="15"/>
        <v>3.5044329062416981</v>
      </c>
      <c r="AC57" s="2">
        <f t="shared" si="16"/>
        <v>0.53914352403718435</v>
      </c>
      <c r="AD57" s="2">
        <f t="shared" si="17"/>
        <v>0.23145121634487664</v>
      </c>
    </row>
    <row r="58" spans="1:30" x14ac:dyDescent="0.35">
      <c r="A58" t="s">
        <v>601</v>
      </c>
      <c r="B58" t="s">
        <v>472</v>
      </c>
      <c r="C58" s="4" t="s">
        <v>85</v>
      </c>
      <c r="D58" s="4" t="s">
        <v>72</v>
      </c>
      <c r="E58">
        <v>32</v>
      </c>
      <c r="F58">
        <v>2113</v>
      </c>
      <c r="G58" s="7">
        <f t="shared" si="9"/>
        <v>66.03125</v>
      </c>
      <c r="H58">
        <v>12</v>
      </c>
      <c r="I58">
        <v>0</v>
      </c>
      <c r="J58">
        <v>14</v>
      </c>
      <c r="K58">
        <v>32</v>
      </c>
      <c r="L58" s="7">
        <v>66.03125</v>
      </c>
      <c r="M58" s="3">
        <v>13.11</v>
      </c>
      <c r="N58" s="3">
        <v>13.11</v>
      </c>
      <c r="O58" s="3">
        <v>2.3199999999999998</v>
      </c>
      <c r="P58" s="2">
        <v>0.56000000000000005</v>
      </c>
      <c r="Q58" s="2">
        <v>0.1</v>
      </c>
      <c r="R58" s="2">
        <v>0.31306353319569563</v>
      </c>
      <c r="S58" s="2">
        <v>0.15229499999999999</v>
      </c>
      <c r="T58" s="2">
        <f t="shared" si="10"/>
        <v>0.4375</v>
      </c>
      <c r="U58">
        <v>8.5</v>
      </c>
      <c r="V58">
        <v>115</v>
      </c>
      <c r="W58" s="7">
        <f t="shared" si="11"/>
        <v>132.76011555555556</v>
      </c>
      <c r="X58" s="7">
        <f t="shared" si="12"/>
        <v>17.760115555555558</v>
      </c>
      <c r="Y58" s="2">
        <f t="shared" si="13"/>
        <v>0.13377598747361408</v>
      </c>
      <c r="Z58" s="7"/>
      <c r="AA58" s="3">
        <f t="shared" si="14"/>
        <v>15.618837124183006</v>
      </c>
      <c r="AB58" s="3">
        <f t="shared" si="15"/>
        <v>3.4936872514619886</v>
      </c>
      <c r="AC58" s="2">
        <f t="shared" si="16"/>
        <v>0.41102202958376338</v>
      </c>
      <c r="AD58" s="2">
        <f t="shared" si="17"/>
        <v>0.17572791193670453</v>
      </c>
    </row>
    <row r="59" spans="1:30" x14ac:dyDescent="0.35">
      <c r="A59" t="s">
        <v>319</v>
      </c>
      <c r="B59" t="s">
        <v>151</v>
      </c>
      <c r="C59" s="4" t="s">
        <v>78</v>
      </c>
      <c r="D59" s="4" t="s">
        <v>69</v>
      </c>
      <c r="E59">
        <v>33</v>
      </c>
      <c r="F59">
        <v>2875</v>
      </c>
      <c r="G59" s="7">
        <f t="shared" si="9"/>
        <v>87.121212121212125</v>
      </c>
      <c r="H59">
        <v>1</v>
      </c>
      <c r="I59">
        <v>0</v>
      </c>
      <c r="J59">
        <v>0</v>
      </c>
      <c r="K59">
        <v>33</v>
      </c>
      <c r="L59" s="7">
        <v>87.121212121212125</v>
      </c>
      <c r="M59" s="3">
        <v>2.66</v>
      </c>
      <c r="N59" s="3">
        <v>2.66</v>
      </c>
      <c r="O59" s="3">
        <v>0.9</v>
      </c>
      <c r="P59" s="2">
        <v>0.08</v>
      </c>
      <c r="Q59" s="2">
        <v>0.03</v>
      </c>
      <c r="R59" s="2">
        <v>0.40095828778034376</v>
      </c>
      <c r="S59" s="2">
        <v>0.17056499999999999</v>
      </c>
      <c r="T59" s="2">
        <f t="shared" si="10"/>
        <v>0</v>
      </c>
      <c r="U59">
        <v>6</v>
      </c>
      <c r="V59">
        <v>116</v>
      </c>
      <c r="W59" s="7">
        <f t="shared" si="11"/>
        <v>131.50618232033872</v>
      </c>
      <c r="X59" s="7">
        <f t="shared" si="12"/>
        <v>15.506182320338723</v>
      </c>
      <c r="Y59" s="2">
        <f t="shared" si="13"/>
        <v>0.11791219277103553</v>
      </c>
      <c r="Z59" s="7"/>
      <c r="AA59" s="3">
        <f t="shared" si="14"/>
        <v>21.917697053389787</v>
      </c>
      <c r="AB59" s="3">
        <f t="shared" si="15"/>
        <v>3.4606890084299664</v>
      </c>
      <c r="AC59" s="2">
        <f t="shared" si="16"/>
        <v>0.5767815014049944</v>
      </c>
      <c r="AD59" s="2">
        <f t="shared" si="17"/>
        <v>0.24344816807166106</v>
      </c>
    </row>
    <row r="60" spans="1:30" x14ac:dyDescent="0.35">
      <c r="A60" t="s">
        <v>571</v>
      </c>
      <c r="B60" t="s">
        <v>95</v>
      </c>
      <c r="C60" s="4" t="s">
        <v>80</v>
      </c>
      <c r="D60" s="4" t="s">
        <v>71</v>
      </c>
      <c r="E60">
        <v>38</v>
      </c>
      <c r="F60">
        <v>3420</v>
      </c>
      <c r="G60" s="7">
        <f t="shared" si="9"/>
        <v>90</v>
      </c>
      <c r="H60">
        <v>0</v>
      </c>
      <c r="I60">
        <v>0</v>
      </c>
      <c r="J60">
        <v>13</v>
      </c>
      <c r="K60">
        <v>38</v>
      </c>
      <c r="L60" s="7">
        <v>90</v>
      </c>
      <c r="M60" s="3">
        <v>0</v>
      </c>
      <c r="N60" s="3">
        <v>0</v>
      </c>
      <c r="O60" s="3">
        <v>0.04</v>
      </c>
      <c r="P60" s="2">
        <v>0</v>
      </c>
      <c r="Q60" s="2">
        <v>0</v>
      </c>
      <c r="R60" s="2">
        <v>0.28798486680605417</v>
      </c>
      <c r="S60" s="2">
        <v>3.6519999999999997E-2</v>
      </c>
      <c r="T60" s="2">
        <f t="shared" si="10"/>
        <v>0.34210526315789475</v>
      </c>
      <c r="U60">
        <v>5.5</v>
      </c>
      <c r="V60">
        <v>161</v>
      </c>
      <c r="W60" s="7">
        <f t="shared" si="11"/>
        <v>131.38593975452022</v>
      </c>
      <c r="X60" s="7">
        <f t="shared" si="12"/>
        <v>-29.614060245479777</v>
      </c>
      <c r="Y60" s="2">
        <f t="shared" si="13"/>
        <v>0.22539748393785744</v>
      </c>
      <c r="Z60" s="7"/>
      <c r="AA60" s="3">
        <f t="shared" si="14"/>
        <v>23.88835268264004</v>
      </c>
      <c r="AB60" s="3">
        <f t="shared" si="15"/>
        <v>3.4575247303821111</v>
      </c>
      <c r="AC60" s="2">
        <f t="shared" si="16"/>
        <v>0.62864086006947473</v>
      </c>
      <c r="AD60" s="2">
        <f t="shared" si="17"/>
        <v>0.26500449643311108</v>
      </c>
    </row>
    <row r="61" spans="1:30" x14ac:dyDescent="0.35">
      <c r="A61" t="s">
        <v>634</v>
      </c>
      <c r="B61" t="s">
        <v>635</v>
      </c>
      <c r="C61" s="4" t="s">
        <v>90</v>
      </c>
      <c r="D61" s="4" t="s">
        <v>70</v>
      </c>
      <c r="E61">
        <v>36</v>
      </c>
      <c r="F61">
        <v>3073</v>
      </c>
      <c r="G61" s="7">
        <f t="shared" si="9"/>
        <v>85.361111111111114</v>
      </c>
      <c r="H61">
        <v>9</v>
      </c>
      <c r="I61">
        <v>4</v>
      </c>
      <c r="J61">
        <v>0</v>
      </c>
      <c r="K61">
        <v>38</v>
      </c>
      <c r="L61" s="7">
        <v>85.361111111111114</v>
      </c>
      <c r="M61" s="3">
        <v>5.53</v>
      </c>
      <c r="N61" s="3">
        <v>5.53</v>
      </c>
      <c r="O61" s="3">
        <v>6.78</v>
      </c>
      <c r="P61" s="2">
        <v>0.16</v>
      </c>
      <c r="Q61" s="2">
        <v>0.2</v>
      </c>
      <c r="R61" s="2">
        <v>0.24817745983836939</v>
      </c>
      <c r="S61" s="2">
        <v>0.17066000000000001</v>
      </c>
      <c r="T61" s="2">
        <f t="shared" si="10"/>
        <v>0</v>
      </c>
      <c r="U61">
        <v>7</v>
      </c>
      <c r="V61">
        <v>155</v>
      </c>
      <c r="W61" s="7">
        <f t="shared" si="11"/>
        <v>129.40356470842593</v>
      </c>
      <c r="X61" s="7">
        <f t="shared" si="12"/>
        <v>-25.596435291574068</v>
      </c>
      <c r="Y61" s="2">
        <f t="shared" si="13"/>
        <v>0.19780316986822072</v>
      </c>
      <c r="Z61" s="7"/>
      <c r="AA61" s="3">
        <f t="shared" si="14"/>
        <v>18.486223529775135</v>
      </c>
      <c r="AB61" s="3">
        <f t="shared" si="15"/>
        <v>3.4053569660112086</v>
      </c>
      <c r="AC61" s="2">
        <f t="shared" si="16"/>
        <v>0.48647956657302982</v>
      </c>
      <c r="AD61" s="2">
        <f t="shared" si="17"/>
        <v>0.20076528085874409</v>
      </c>
    </row>
    <row r="62" spans="1:30" x14ac:dyDescent="0.35">
      <c r="A62" t="s">
        <v>640</v>
      </c>
      <c r="B62" t="s">
        <v>110</v>
      </c>
      <c r="C62" s="4" t="s">
        <v>90</v>
      </c>
      <c r="D62" s="4" t="s">
        <v>71</v>
      </c>
      <c r="E62">
        <v>38</v>
      </c>
      <c r="F62">
        <v>3420</v>
      </c>
      <c r="G62" s="7">
        <f t="shared" si="9"/>
        <v>90</v>
      </c>
      <c r="H62">
        <v>0</v>
      </c>
      <c r="I62">
        <v>0</v>
      </c>
      <c r="J62">
        <v>15</v>
      </c>
      <c r="K62">
        <v>38</v>
      </c>
      <c r="L62" s="7">
        <v>90</v>
      </c>
      <c r="M62" s="3">
        <v>0</v>
      </c>
      <c r="N62" s="3">
        <v>0</v>
      </c>
      <c r="O62" s="3">
        <v>0.08</v>
      </c>
      <c r="P62" s="2">
        <v>0</v>
      </c>
      <c r="Q62" s="2">
        <v>0</v>
      </c>
      <c r="R62" s="2">
        <v>0.24817745983836939</v>
      </c>
      <c r="S62" s="2">
        <v>3.542E-2</v>
      </c>
      <c r="T62" s="2">
        <f t="shared" si="10"/>
        <v>0.39473684210526316</v>
      </c>
      <c r="U62">
        <v>5</v>
      </c>
      <c r="V62">
        <v>143</v>
      </c>
      <c r="W62" s="7">
        <f t="shared" si="11"/>
        <v>127.37701389543216</v>
      </c>
      <c r="X62" s="7">
        <f t="shared" si="12"/>
        <v>-15.622986104567843</v>
      </c>
      <c r="Y62" s="2">
        <f t="shared" si="13"/>
        <v>0.12265153363850442</v>
      </c>
      <c r="Z62" s="7"/>
      <c r="AA62" s="3">
        <f t="shared" si="14"/>
        <v>25.47540277908643</v>
      </c>
      <c r="AB62" s="3">
        <f t="shared" si="15"/>
        <v>3.3520266814587409</v>
      </c>
      <c r="AC62" s="2">
        <f t="shared" si="16"/>
        <v>0.67040533629174814</v>
      </c>
      <c r="AD62" s="2">
        <f t="shared" si="17"/>
        <v>0.27040533629174818</v>
      </c>
    </row>
    <row r="63" spans="1:30" x14ac:dyDescent="0.35">
      <c r="A63" t="s">
        <v>526</v>
      </c>
      <c r="B63" t="s">
        <v>100</v>
      </c>
      <c r="C63" s="4" t="s">
        <v>74</v>
      </c>
      <c r="D63" s="4" t="s">
        <v>71</v>
      </c>
      <c r="E63">
        <v>32</v>
      </c>
      <c r="F63">
        <v>2833</v>
      </c>
      <c r="G63" s="7">
        <f t="shared" si="9"/>
        <v>88.53125</v>
      </c>
      <c r="H63">
        <v>0</v>
      </c>
      <c r="I63">
        <v>0</v>
      </c>
      <c r="J63">
        <v>0</v>
      </c>
      <c r="K63">
        <v>38</v>
      </c>
      <c r="L63" s="7">
        <v>88.53125</v>
      </c>
      <c r="M63" s="3">
        <v>0</v>
      </c>
      <c r="N63" s="3">
        <v>0</v>
      </c>
      <c r="O63" s="3">
        <v>0</v>
      </c>
      <c r="P63" s="2">
        <v>0</v>
      </c>
      <c r="Q63" s="2">
        <v>0</v>
      </c>
      <c r="R63" s="2">
        <v>0.34896981428054735</v>
      </c>
      <c r="S63" s="2">
        <v>4.3999999999999997E-2</v>
      </c>
      <c r="T63" s="2">
        <f t="shared" si="10"/>
        <v>0</v>
      </c>
      <c r="U63">
        <v>5</v>
      </c>
      <c r="V63">
        <v>106</v>
      </c>
      <c r="W63" s="7">
        <f t="shared" si="11"/>
        <v>127.37141177064319</v>
      </c>
      <c r="X63" s="7">
        <f t="shared" si="12"/>
        <v>21.371411770643192</v>
      </c>
      <c r="Y63" s="2">
        <f t="shared" si="13"/>
        <v>0.16778813607818482</v>
      </c>
      <c r="Z63" s="7"/>
      <c r="AA63" s="3">
        <f t="shared" si="14"/>
        <v>25.47428235412864</v>
      </c>
      <c r="AB63" s="3">
        <f t="shared" si="15"/>
        <v>3.3518792571221891</v>
      </c>
      <c r="AC63" s="2">
        <f t="shared" si="16"/>
        <v>0.67037585142443779</v>
      </c>
      <c r="AD63" s="2">
        <f t="shared" si="17"/>
        <v>0.27037585142443782</v>
      </c>
    </row>
    <row r="64" spans="1:30" x14ac:dyDescent="0.35">
      <c r="A64" t="s">
        <v>627</v>
      </c>
      <c r="B64" t="s">
        <v>484</v>
      </c>
      <c r="C64" s="4" t="s">
        <v>89</v>
      </c>
      <c r="D64" s="4" t="s">
        <v>72</v>
      </c>
      <c r="E64">
        <v>32</v>
      </c>
      <c r="F64">
        <v>2552</v>
      </c>
      <c r="G64" s="7">
        <f t="shared" si="9"/>
        <v>79.75</v>
      </c>
      <c r="H64">
        <v>9</v>
      </c>
      <c r="I64">
        <v>5</v>
      </c>
      <c r="J64">
        <v>13</v>
      </c>
      <c r="K64">
        <v>32</v>
      </c>
      <c r="L64" s="7">
        <v>79.75</v>
      </c>
      <c r="M64" s="3">
        <v>10.23</v>
      </c>
      <c r="N64" s="3">
        <v>9.4700000000000006</v>
      </c>
      <c r="O64" s="3">
        <v>4.6900000000000004</v>
      </c>
      <c r="P64" s="2">
        <v>0.36</v>
      </c>
      <c r="Q64" s="2">
        <v>0.17</v>
      </c>
      <c r="R64" s="2">
        <v>0.24618708948998508</v>
      </c>
      <c r="S64" s="2">
        <v>0.16016</v>
      </c>
      <c r="T64" s="2">
        <f t="shared" si="10"/>
        <v>0.40625</v>
      </c>
      <c r="U64">
        <v>6.5</v>
      </c>
      <c r="V64">
        <v>116</v>
      </c>
      <c r="W64" s="7">
        <f t="shared" si="11"/>
        <v>127.16821333333333</v>
      </c>
      <c r="X64" s="7">
        <f t="shared" si="12"/>
        <v>11.168213333333327</v>
      </c>
      <c r="Y64" s="2">
        <f t="shared" si="13"/>
        <v>8.7822365672931224E-2</v>
      </c>
      <c r="Z64" s="7"/>
      <c r="AA64" s="3">
        <f t="shared" si="14"/>
        <v>19.564340512820511</v>
      </c>
      <c r="AB64" s="3">
        <f t="shared" si="15"/>
        <v>3.346531929824561</v>
      </c>
      <c r="AC64" s="2">
        <f t="shared" si="16"/>
        <v>0.51485106612685549</v>
      </c>
      <c r="AD64" s="2">
        <f t="shared" si="17"/>
        <v>0.20715875843454784</v>
      </c>
    </row>
    <row r="65" spans="1:30" x14ac:dyDescent="0.35">
      <c r="A65" t="s">
        <v>115</v>
      </c>
      <c r="B65" t="s">
        <v>577</v>
      </c>
      <c r="C65" s="4" t="s">
        <v>81</v>
      </c>
      <c r="D65" s="4" t="s">
        <v>69</v>
      </c>
      <c r="E65">
        <v>35</v>
      </c>
      <c r="F65">
        <v>2300</v>
      </c>
      <c r="G65" s="7">
        <f t="shared" si="9"/>
        <v>65.714285714285708</v>
      </c>
      <c r="H65">
        <v>2</v>
      </c>
      <c r="I65">
        <v>6</v>
      </c>
      <c r="J65">
        <v>0</v>
      </c>
      <c r="K65">
        <v>35</v>
      </c>
      <c r="L65" s="7">
        <v>65.714285714285708</v>
      </c>
      <c r="M65" s="3">
        <v>4.2699999999999996</v>
      </c>
      <c r="N65" s="3">
        <v>4.2699999999999996</v>
      </c>
      <c r="O65" s="3">
        <v>3.99</v>
      </c>
      <c r="P65" s="3">
        <v>0.17</v>
      </c>
      <c r="Q65" s="3">
        <v>0.16</v>
      </c>
      <c r="R65" s="2">
        <v>0.16943840885628872</v>
      </c>
      <c r="S65" s="2">
        <v>0.19419749999999997</v>
      </c>
      <c r="T65" s="2">
        <f t="shared" si="10"/>
        <v>0</v>
      </c>
      <c r="U65">
        <v>6</v>
      </c>
      <c r="V65">
        <v>151</v>
      </c>
      <c r="W65" s="7">
        <f t="shared" si="11"/>
        <v>125.25779807321373</v>
      </c>
      <c r="X65" s="7">
        <f t="shared" si="12"/>
        <v>-25.742201926786265</v>
      </c>
      <c r="Y65" s="2">
        <f t="shared" si="13"/>
        <v>0.20551376698910062</v>
      </c>
      <c r="Z65" s="7"/>
      <c r="AA65" s="3">
        <f t="shared" si="14"/>
        <v>20.876299678868957</v>
      </c>
      <c r="AB65" s="3">
        <f t="shared" si="15"/>
        <v>3.2962578440319406</v>
      </c>
      <c r="AC65" s="2">
        <f t="shared" si="16"/>
        <v>0.54937630733865672</v>
      </c>
      <c r="AD65" s="2">
        <f t="shared" si="17"/>
        <v>0.21604297400532343</v>
      </c>
    </row>
    <row r="66" spans="1:30" x14ac:dyDescent="0.35">
      <c r="A66" t="s">
        <v>348</v>
      </c>
      <c r="B66" t="s">
        <v>193</v>
      </c>
      <c r="C66" s="4" t="s">
        <v>77</v>
      </c>
      <c r="D66" s="4" t="s">
        <v>69</v>
      </c>
      <c r="E66">
        <v>35</v>
      </c>
      <c r="F66">
        <v>3086</v>
      </c>
      <c r="G66" s="7">
        <f t="shared" ref="G66:G97" si="18">F66/E66</f>
        <v>88.171428571428578</v>
      </c>
      <c r="H66">
        <v>3</v>
      </c>
      <c r="I66">
        <v>1</v>
      </c>
      <c r="J66">
        <v>0</v>
      </c>
      <c r="K66">
        <v>38</v>
      </c>
      <c r="L66" s="7">
        <v>88.171428571428578</v>
      </c>
      <c r="M66" s="3">
        <v>3.64</v>
      </c>
      <c r="N66" s="3">
        <v>3.64</v>
      </c>
      <c r="O66" s="3">
        <v>0.2</v>
      </c>
      <c r="P66" s="2">
        <v>0.11</v>
      </c>
      <c r="Q66" s="2">
        <v>0.01</v>
      </c>
      <c r="R66" s="2">
        <v>0.20048818629108286</v>
      </c>
      <c r="S66" s="2">
        <v>0.20858249999999998</v>
      </c>
      <c r="T66" s="2">
        <f t="shared" ref="T66:T97" si="19">J66/E66</f>
        <v>0</v>
      </c>
      <c r="U66">
        <v>5</v>
      </c>
      <c r="V66">
        <v>97</v>
      </c>
      <c r="W66" s="7">
        <f t="shared" ref="W66:W97" si="20">calcPoints(D66,K66,L66,P66,Q66,R66,S66,T66)</f>
        <v>124.23534550672079</v>
      </c>
      <c r="X66" s="7">
        <f t="shared" ref="X66:X97" si="21">W66-V66</f>
        <v>27.23534550672079</v>
      </c>
      <c r="Y66" s="2">
        <f t="shared" ref="Y66:Y97" si="22">ABS(X66/W66)</f>
        <v>0.21922380781117909</v>
      </c>
      <c r="Z66" s="7"/>
      <c r="AA66" s="3">
        <f t="shared" ref="AA66:AA97" si="23">W66/U66</f>
        <v>24.847069101344157</v>
      </c>
      <c r="AB66" s="3">
        <f t="shared" ref="AB66:AB97" si="24">W66/38</f>
        <v>3.269351197545284</v>
      </c>
      <c r="AC66" s="2">
        <f t="shared" ref="AC66:AC97" si="25">AB66/U66</f>
        <v>0.65387023950905676</v>
      </c>
      <c r="AD66" s="2">
        <f t="shared" ref="AD66:AD97" si="26">(AB66-2)/U66</f>
        <v>0.25387023950905679</v>
      </c>
    </row>
    <row r="67" spans="1:30" x14ac:dyDescent="0.35">
      <c r="A67" t="s">
        <v>552</v>
      </c>
      <c r="B67" t="s">
        <v>109</v>
      </c>
      <c r="C67" s="4" t="s">
        <v>89</v>
      </c>
      <c r="D67" s="4" t="s">
        <v>71</v>
      </c>
      <c r="E67">
        <v>38</v>
      </c>
      <c r="F67">
        <v>3420</v>
      </c>
      <c r="G67" s="7">
        <f t="shared" si="18"/>
        <v>90</v>
      </c>
      <c r="H67">
        <v>0</v>
      </c>
      <c r="I67">
        <v>0</v>
      </c>
      <c r="J67">
        <v>11</v>
      </c>
      <c r="K67">
        <v>38</v>
      </c>
      <c r="L67" s="7">
        <v>90</v>
      </c>
      <c r="M67" s="3">
        <v>0.02</v>
      </c>
      <c r="N67" s="3">
        <v>0.02</v>
      </c>
      <c r="O67" s="3">
        <v>0.21</v>
      </c>
      <c r="P67" s="2">
        <v>0</v>
      </c>
      <c r="Q67" s="2">
        <v>0.01</v>
      </c>
      <c r="R67" s="2">
        <v>0.24618708948998508</v>
      </c>
      <c r="S67" s="2">
        <v>4.9280000000000004E-2</v>
      </c>
      <c r="T67" s="2">
        <f t="shared" si="19"/>
        <v>0.28947368421052633</v>
      </c>
      <c r="U67">
        <v>5</v>
      </c>
      <c r="V67">
        <v>129</v>
      </c>
      <c r="W67" s="7">
        <f t="shared" si="20"/>
        <v>123.6877976024777</v>
      </c>
      <c r="X67" s="7">
        <f t="shared" si="21"/>
        <v>-5.3122023975222987</v>
      </c>
      <c r="Y67" s="2">
        <f t="shared" si="22"/>
        <v>4.2948475924806065E-2</v>
      </c>
      <c r="Z67" s="7"/>
      <c r="AA67" s="3">
        <f t="shared" si="23"/>
        <v>24.737559520495541</v>
      </c>
      <c r="AB67" s="3">
        <f t="shared" si="24"/>
        <v>3.254942042170466</v>
      </c>
      <c r="AC67" s="2">
        <f t="shared" si="25"/>
        <v>0.65098840843409322</v>
      </c>
      <c r="AD67" s="2">
        <f t="shared" si="26"/>
        <v>0.2509884084340932</v>
      </c>
    </row>
    <row r="68" spans="1:30" x14ac:dyDescent="0.35">
      <c r="A68" t="s">
        <v>552</v>
      </c>
      <c r="B68" t="s">
        <v>168</v>
      </c>
      <c r="C68" s="4" t="s">
        <v>82</v>
      </c>
      <c r="D68" s="4" t="s">
        <v>69</v>
      </c>
      <c r="E68">
        <v>36</v>
      </c>
      <c r="F68">
        <v>3240</v>
      </c>
      <c r="G68" s="7">
        <f t="shared" si="18"/>
        <v>90</v>
      </c>
      <c r="H68">
        <v>0</v>
      </c>
      <c r="I68">
        <v>4</v>
      </c>
      <c r="J68">
        <v>0</v>
      </c>
      <c r="K68">
        <v>36</v>
      </c>
      <c r="L68" s="7">
        <v>90</v>
      </c>
      <c r="M68" s="3">
        <v>0.97</v>
      </c>
      <c r="N68" s="3">
        <v>0.97</v>
      </c>
      <c r="O68" s="3">
        <v>3.07</v>
      </c>
      <c r="P68" s="2">
        <v>0.03</v>
      </c>
      <c r="Q68" s="2">
        <v>0.09</v>
      </c>
      <c r="R68" s="2">
        <v>0.28400412610928571</v>
      </c>
      <c r="S68" s="2">
        <v>0.18084</v>
      </c>
      <c r="T68" s="2">
        <f t="shared" si="19"/>
        <v>0</v>
      </c>
      <c r="U68">
        <v>5.5</v>
      </c>
      <c r="V68">
        <v>118</v>
      </c>
      <c r="W68" s="7">
        <f t="shared" si="20"/>
        <v>122.58635415973716</v>
      </c>
      <c r="X68" s="7">
        <f t="shared" si="21"/>
        <v>4.5863541597371551</v>
      </c>
      <c r="Y68" s="2">
        <f t="shared" si="22"/>
        <v>3.7413251998349412E-2</v>
      </c>
      <c r="Z68" s="7"/>
      <c r="AA68" s="3">
        <f t="shared" si="23"/>
        <v>22.288428029043118</v>
      </c>
      <c r="AB68" s="3">
        <f t="shared" si="24"/>
        <v>3.2259566884141355</v>
      </c>
      <c r="AC68" s="2">
        <f t="shared" si="25"/>
        <v>0.58653757971166098</v>
      </c>
      <c r="AD68" s="2">
        <f t="shared" si="26"/>
        <v>0.22290121607529736</v>
      </c>
    </row>
    <row r="69" spans="1:30" x14ac:dyDescent="0.35">
      <c r="A69" t="s">
        <v>532</v>
      </c>
      <c r="B69" t="s">
        <v>96</v>
      </c>
      <c r="C69" s="4" t="s">
        <v>85</v>
      </c>
      <c r="D69" s="4" t="s">
        <v>71</v>
      </c>
      <c r="E69">
        <v>38</v>
      </c>
      <c r="F69">
        <v>3420</v>
      </c>
      <c r="G69" s="7">
        <f t="shared" si="18"/>
        <v>90</v>
      </c>
      <c r="H69">
        <v>0</v>
      </c>
      <c r="I69">
        <v>0</v>
      </c>
      <c r="J69">
        <v>0</v>
      </c>
      <c r="K69">
        <v>38</v>
      </c>
      <c r="L69" s="7">
        <v>90</v>
      </c>
      <c r="M69" s="3">
        <v>0</v>
      </c>
      <c r="N69" s="3">
        <v>0</v>
      </c>
      <c r="O69" s="3">
        <v>0</v>
      </c>
      <c r="P69" s="2">
        <v>0</v>
      </c>
      <c r="Q69" s="2">
        <v>0</v>
      </c>
      <c r="R69" s="2">
        <v>0.31306353319569563</v>
      </c>
      <c r="S69" s="2">
        <v>4.6859999999999992E-2</v>
      </c>
      <c r="T69" s="2">
        <f t="shared" si="19"/>
        <v>0</v>
      </c>
      <c r="U69">
        <v>5.5</v>
      </c>
      <c r="V69">
        <v>120</v>
      </c>
      <c r="W69" s="7">
        <f t="shared" si="20"/>
        <v>121.80497704574574</v>
      </c>
      <c r="X69" s="7">
        <f t="shared" si="21"/>
        <v>1.8049770457457441</v>
      </c>
      <c r="Y69" s="2">
        <f t="shared" si="22"/>
        <v>1.4818582044212011E-2</v>
      </c>
      <c r="Z69" s="7"/>
      <c r="AA69" s="3">
        <f t="shared" si="23"/>
        <v>22.146359462862861</v>
      </c>
      <c r="AB69" s="3">
        <f t="shared" si="24"/>
        <v>3.2053941327827826</v>
      </c>
      <c r="AC69" s="2">
        <f t="shared" si="25"/>
        <v>0.58279893323323317</v>
      </c>
      <c r="AD69" s="2">
        <f t="shared" si="26"/>
        <v>0.21916256959686956</v>
      </c>
    </row>
    <row r="70" spans="1:30" x14ac:dyDescent="0.35">
      <c r="A70" t="s">
        <v>645</v>
      </c>
      <c r="B70" t="s">
        <v>111</v>
      </c>
      <c r="C70" s="4" t="s">
        <v>91</v>
      </c>
      <c r="D70" s="4" t="s">
        <v>71</v>
      </c>
      <c r="E70">
        <v>37</v>
      </c>
      <c r="F70">
        <v>3330</v>
      </c>
      <c r="G70" s="7">
        <f t="shared" si="18"/>
        <v>90</v>
      </c>
      <c r="H70">
        <v>0</v>
      </c>
      <c r="I70">
        <v>0</v>
      </c>
      <c r="J70">
        <v>0</v>
      </c>
      <c r="K70">
        <v>38</v>
      </c>
      <c r="L70" s="7">
        <v>90</v>
      </c>
      <c r="M70" s="3">
        <v>0</v>
      </c>
      <c r="N70" s="3">
        <v>0</v>
      </c>
      <c r="O70" s="3">
        <v>0</v>
      </c>
      <c r="P70" s="2">
        <v>0</v>
      </c>
      <c r="Q70" s="2">
        <v>0</v>
      </c>
      <c r="R70" s="2">
        <v>0.31178969617272972</v>
      </c>
      <c r="S70" s="2">
        <v>4.2899999999999994E-2</v>
      </c>
      <c r="T70" s="2">
        <f t="shared" si="19"/>
        <v>0</v>
      </c>
      <c r="U70">
        <v>5</v>
      </c>
      <c r="V70">
        <v>118</v>
      </c>
      <c r="W70" s="7">
        <f t="shared" si="20"/>
        <v>121.76183381825493</v>
      </c>
      <c r="X70" s="7">
        <f t="shared" si="21"/>
        <v>3.761833818254928</v>
      </c>
      <c r="Y70" s="2">
        <f t="shared" si="22"/>
        <v>3.089501611703668E-2</v>
      </c>
      <c r="Z70" s="7"/>
      <c r="AA70" s="3">
        <f t="shared" si="23"/>
        <v>24.352366763650984</v>
      </c>
      <c r="AB70" s="3">
        <f t="shared" si="24"/>
        <v>3.2042587846909192</v>
      </c>
      <c r="AC70" s="2">
        <f t="shared" si="25"/>
        <v>0.64085175693818386</v>
      </c>
      <c r="AD70" s="2">
        <f t="shared" si="26"/>
        <v>0.24085175693818384</v>
      </c>
    </row>
    <row r="71" spans="1:30" x14ac:dyDescent="0.35">
      <c r="A71" t="s">
        <v>603</v>
      </c>
      <c r="B71" t="s">
        <v>179</v>
      </c>
      <c r="C71" s="4" t="s">
        <v>85</v>
      </c>
      <c r="D71" s="4" t="s">
        <v>69</v>
      </c>
      <c r="E71">
        <v>29</v>
      </c>
      <c r="F71">
        <v>2594</v>
      </c>
      <c r="G71" s="7">
        <f t="shared" si="18"/>
        <v>89.448275862068968</v>
      </c>
      <c r="H71">
        <v>1</v>
      </c>
      <c r="I71">
        <v>4</v>
      </c>
      <c r="J71">
        <v>11</v>
      </c>
      <c r="K71">
        <v>29</v>
      </c>
      <c r="L71" s="7">
        <v>89.448275862068968</v>
      </c>
      <c r="M71" s="3">
        <v>1.53</v>
      </c>
      <c r="N71" s="3">
        <v>1.53</v>
      </c>
      <c r="O71" s="3">
        <v>4.32</v>
      </c>
      <c r="P71" s="2">
        <v>0.05</v>
      </c>
      <c r="Q71" s="2">
        <v>0.15</v>
      </c>
      <c r="R71" s="2">
        <v>0.31306353319569563</v>
      </c>
      <c r="S71" s="2">
        <v>0.21885749999999998</v>
      </c>
      <c r="T71" s="2">
        <f t="shared" si="19"/>
        <v>0.37931034482758619</v>
      </c>
      <c r="U71">
        <v>5.5</v>
      </c>
      <c r="V71">
        <v>91</v>
      </c>
      <c r="W71" s="7">
        <f t="shared" si="20"/>
        <v>120.58516901736736</v>
      </c>
      <c r="X71" s="7">
        <f t="shared" si="21"/>
        <v>29.585169017367363</v>
      </c>
      <c r="Y71" s="2">
        <f t="shared" si="22"/>
        <v>0.24534666458945992</v>
      </c>
      <c r="Z71" s="7"/>
      <c r="AA71" s="3">
        <f t="shared" si="23"/>
        <v>21.924576184975884</v>
      </c>
      <c r="AB71" s="3">
        <f t="shared" si="24"/>
        <v>3.1732939215096674</v>
      </c>
      <c r="AC71" s="2">
        <f t="shared" si="25"/>
        <v>0.57696253118357588</v>
      </c>
      <c r="AD71" s="2">
        <f t="shared" si="26"/>
        <v>0.21332616754721226</v>
      </c>
    </row>
    <row r="72" spans="1:30" x14ac:dyDescent="0.35">
      <c r="A72" t="s">
        <v>546</v>
      </c>
      <c r="B72" t="s">
        <v>190</v>
      </c>
      <c r="C72" s="4" t="s">
        <v>76</v>
      </c>
      <c r="D72" s="4" t="s">
        <v>69</v>
      </c>
      <c r="E72">
        <v>35</v>
      </c>
      <c r="F72">
        <v>3087</v>
      </c>
      <c r="G72" s="7">
        <f t="shared" si="18"/>
        <v>88.2</v>
      </c>
      <c r="H72">
        <v>5</v>
      </c>
      <c r="I72">
        <v>1</v>
      </c>
      <c r="J72">
        <v>0</v>
      </c>
      <c r="K72">
        <v>38</v>
      </c>
      <c r="L72" s="7">
        <v>88.2</v>
      </c>
      <c r="M72" s="3">
        <v>3.38</v>
      </c>
      <c r="N72" s="3">
        <v>3.38</v>
      </c>
      <c r="O72" s="3">
        <v>0.27</v>
      </c>
      <c r="P72" s="2">
        <v>0.1</v>
      </c>
      <c r="Q72" s="2">
        <v>0.01</v>
      </c>
      <c r="R72" s="2">
        <v>0.17795719394737325</v>
      </c>
      <c r="S72" s="2">
        <v>0.18392249999999999</v>
      </c>
      <c r="T72" s="2">
        <f t="shared" si="19"/>
        <v>0</v>
      </c>
      <c r="U72">
        <v>5</v>
      </c>
      <c r="V72">
        <v>115</v>
      </c>
      <c r="W72" s="7">
        <f t="shared" si="20"/>
        <v>119.52163848000072</v>
      </c>
      <c r="X72" s="7">
        <f t="shared" si="21"/>
        <v>4.5216384800007177</v>
      </c>
      <c r="Y72" s="2">
        <f t="shared" si="22"/>
        <v>3.7831128634981968E-2</v>
      </c>
      <c r="Z72" s="7"/>
      <c r="AA72" s="3">
        <f t="shared" si="23"/>
        <v>23.904327696000145</v>
      </c>
      <c r="AB72" s="3">
        <f t="shared" si="24"/>
        <v>3.1453062757894927</v>
      </c>
      <c r="AC72" s="2">
        <f t="shared" si="25"/>
        <v>0.62906125515789857</v>
      </c>
      <c r="AD72" s="2">
        <f t="shared" si="26"/>
        <v>0.22906125515789855</v>
      </c>
    </row>
    <row r="73" spans="1:30" x14ac:dyDescent="0.35">
      <c r="A73" t="s">
        <v>581</v>
      </c>
      <c r="B73" t="s">
        <v>103</v>
      </c>
      <c r="C73" s="4" t="s">
        <v>82</v>
      </c>
      <c r="D73" s="4" t="s">
        <v>71</v>
      </c>
      <c r="E73">
        <v>38</v>
      </c>
      <c r="F73">
        <v>3420</v>
      </c>
      <c r="G73" s="7">
        <f t="shared" si="18"/>
        <v>90</v>
      </c>
      <c r="H73">
        <v>0</v>
      </c>
      <c r="I73">
        <v>0</v>
      </c>
      <c r="J73">
        <v>0</v>
      </c>
      <c r="K73">
        <v>38</v>
      </c>
      <c r="L73" s="7">
        <v>90</v>
      </c>
      <c r="M73" s="3">
        <v>0.08</v>
      </c>
      <c r="N73" s="3">
        <v>0.08</v>
      </c>
      <c r="O73" s="3">
        <v>0.28999999999999998</v>
      </c>
      <c r="P73" s="2">
        <v>0</v>
      </c>
      <c r="Q73" s="2">
        <v>0.01</v>
      </c>
      <c r="R73" s="2">
        <v>0.28400412610928571</v>
      </c>
      <c r="S73" s="2">
        <v>3.8719999999999997E-2</v>
      </c>
      <c r="T73" s="2">
        <f t="shared" si="19"/>
        <v>0</v>
      </c>
      <c r="U73">
        <v>5</v>
      </c>
      <c r="V73">
        <v>120</v>
      </c>
      <c r="W73" s="7">
        <f t="shared" si="20"/>
        <v>118.83726716861142</v>
      </c>
      <c r="X73" s="7">
        <f t="shared" si="21"/>
        <v>-1.1627328313885812</v>
      </c>
      <c r="Y73" s="2">
        <f t="shared" si="22"/>
        <v>9.7842441103837049E-3</v>
      </c>
      <c r="Z73" s="7"/>
      <c r="AA73" s="3">
        <f t="shared" si="23"/>
        <v>23.767453433722284</v>
      </c>
      <c r="AB73" s="3">
        <f t="shared" si="24"/>
        <v>3.1272965044371426</v>
      </c>
      <c r="AC73" s="2">
        <f t="shared" si="25"/>
        <v>0.62545930088742852</v>
      </c>
      <c r="AD73" s="2">
        <f t="shared" si="26"/>
        <v>0.22545930088742852</v>
      </c>
    </row>
    <row r="74" spans="1:30" x14ac:dyDescent="0.35">
      <c r="A74" t="s">
        <v>559</v>
      </c>
      <c r="B74" t="s">
        <v>220</v>
      </c>
      <c r="C74" s="4" t="s">
        <v>78</v>
      </c>
      <c r="D74" s="4" t="s">
        <v>69</v>
      </c>
      <c r="E74">
        <v>32</v>
      </c>
      <c r="F74">
        <v>2613</v>
      </c>
      <c r="G74" s="7">
        <f t="shared" si="18"/>
        <v>81.65625</v>
      </c>
      <c r="H74">
        <v>2</v>
      </c>
      <c r="I74">
        <v>2</v>
      </c>
      <c r="J74">
        <v>0</v>
      </c>
      <c r="K74">
        <v>32</v>
      </c>
      <c r="L74" s="7">
        <v>81.65625</v>
      </c>
      <c r="M74" s="3">
        <v>1.27</v>
      </c>
      <c r="N74" s="3">
        <v>1.27</v>
      </c>
      <c r="O74" s="3">
        <v>0.44</v>
      </c>
      <c r="P74" s="2">
        <v>0.04</v>
      </c>
      <c r="Q74" s="2">
        <v>0.02</v>
      </c>
      <c r="R74" s="2">
        <v>0.40095828778034376</v>
      </c>
      <c r="S74" s="2">
        <v>0.17056499999999999</v>
      </c>
      <c r="T74" s="2">
        <f t="shared" si="19"/>
        <v>0</v>
      </c>
      <c r="U74">
        <v>5</v>
      </c>
      <c r="V74">
        <v>112</v>
      </c>
      <c r="W74" s="7">
        <f t="shared" si="20"/>
        <v>118.57458083588401</v>
      </c>
      <c r="X74" s="7">
        <f t="shared" si="21"/>
        <v>6.5745808358840065</v>
      </c>
      <c r="Y74" s="2">
        <f t="shared" si="22"/>
        <v>5.5446798036618936E-2</v>
      </c>
      <c r="Z74" s="7"/>
      <c r="AA74" s="3">
        <f t="shared" si="23"/>
        <v>23.714916167176803</v>
      </c>
      <c r="AB74" s="3">
        <f t="shared" si="24"/>
        <v>3.1203837062074737</v>
      </c>
      <c r="AC74" s="2">
        <f t="shared" si="25"/>
        <v>0.6240767412414947</v>
      </c>
      <c r="AD74" s="2">
        <f t="shared" si="26"/>
        <v>0.22407674124149474</v>
      </c>
    </row>
    <row r="75" spans="1:30" x14ac:dyDescent="0.35">
      <c r="A75" t="s">
        <v>573</v>
      </c>
      <c r="B75" t="s">
        <v>166</v>
      </c>
      <c r="C75" s="4" t="s">
        <v>80</v>
      </c>
      <c r="D75" s="4" t="s">
        <v>69</v>
      </c>
      <c r="E75">
        <v>29</v>
      </c>
      <c r="F75">
        <v>2564</v>
      </c>
      <c r="G75" s="7">
        <f t="shared" si="18"/>
        <v>88.41379310344827</v>
      </c>
      <c r="H75">
        <v>2</v>
      </c>
      <c r="I75">
        <v>2</v>
      </c>
      <c r="J75">
        <v>12</v>
      </c>
      <c r="K75">
        <v>29</v>
      </c>
      <c r="L75" s="7">
        <v>88.41379310344827</v>
      </c>
      <c r="M75" s="3">
        <v>1.36</v>
      </c>
      <c r="N75" s="3">
        <v>1.36</v>
      </c>
      <c r="O75" s="3">
        <v>3.8</v>
      </c>
      <c r="P75" s="2">
        <v>0.05</v>
      </c>
      <c r="Q75" s="2">
        <v>0.13</v>
      </c>
      <c r="R75" s="2">
        <v>0.28798486680605417</v>
      </c>
      <c r="S75" s="2">
        <v>0.17056499999999999</v>
      </c>
      <c r="T75" s="2">
        <f t="shared" si="19"/>
        <v>0.41379310344827586</v>
      </c>
      <c r="U75">
        <v>5.5</v>
      </c>
      <c r="V75">
        <v>125</v>
      </c>
      <c r="W75" s="7">
        <f t="shared" si="20"/>
        <v>118.11719288283562</v>
      </c>
      <c r="X75" s="7">
        <f t="shared" si="21"/>
        <v>-6.8828071171643757</v>
      </c>
      <c r="Y75" s="2">
        <f t="shared" si="22"/>
        <v>5.8271001445078879E-2</v>
      </c>
      <c r="Z75" s="7"/>
      <c r="AA75" s="3">
        <f t="shared" si="23"/>
        <v>21.47585325142466</v>
      </c>
      <c r="AB75" s="3">
        <f t="shared" si="24"/>
        <v>3.1083471811272534</v>
      </c>
      <c r="AC75" s="2">
        <f t="shared" si="25"/>
        <v>0.56515403293222788</v>
      </c>
      <c r="AD75" s="2">
        <f t="shared" si="26"/>
        <v>0.20151766929586426</v>
      </c>
    </row>
    <row r="76" spans="1:30" x14ac:dyDescent="0.35">
      <c r="B76" t="s">
        <v>26</v>
      </c>
      <c r="C76" s="4" t="s">
        <v>91</v>
      </c>
      <c r="D76" s="4" t="s">
        <v>69</v>
      </c>
      <c r="E76">
        <v>33</v>
      </c>
      <c r="F76">
        <v>2792</v>
      </c>
      <c r="G76" s="7">
        <f t="shared" si="18"/>
        <v>84.606060606060609</v>
      </c>
      <c r="H76">
        <v>1</v>
      </c>
      <c r="I76">
        <v>1</v>
      </c>
      <c r="J76">
        <v>0</v>
      </c>
      <c r="K76">
        <v>33</v>
      </c>
      <c r="L76" s="7">
        <v>84.606060606060609</v>
      </c>
      <c r="M76" s="3">
        <v>1.85</v>
      </c>
      <c r="N76" s="3">
        <v>1.85</v>
      </c>
      <c r="O76" s="3">
        <v>1.76</v>
      </c>
      <c r="P76" s="2">
        <v>0.06</v>
      </c>
      <c r="Q76" s="2">
        <v>0.06</v>
      </c>
      <c r="R76" s="2">
        <v>0.31178969617272972</v>
      </c>
      <c r="S76" s="2">
        <v>0.20036249999999997</v>
      </c>
      <c r="T76" s="2">
        <f t="shared" si="19"/>
        <v>0</v>
      </c>
      <c r="U76">
        <v>5.5</v>
      </c>
      <c r="V76">
        <v>103</v>
      </c>
      <c r="W76" s="7">
        <f t="shared" si="20"/>
        <v>117.29627739480033</v>
      </c>
      <c r="X76" s="7">
        <f t="shared" si="21"/>
        <v>14.296277394800327</v>
      </c>
      <c r="Y76" s="2">
        <f t="shared" si="22"/>
        <v>0.12188176566491847</v>
      </c>
      <c r="Z76" s="7"/>
      <c r="AA76" s="3">
        <f t="shared" si="23"/>
        <v>21.326595889963695</v>
      </c>
      <c r="AB76" s="3">
        <f t="shared" si="24"/>
        <v>3.0867441419684298</v>
      </c>
      <c r="AC76" s="2">
        <f t="shared" si="25"/>
        <v>0.56122620763062359</v>
      </c>
      <c r="AD76" s="2">
        <f t="shared" si="26"/>
        <v>0.19758984399425997</v>
      </c>
    </row>
    <row r="77" spans="1:30" x14ac:dyDescent="0.35">
      <c r="A77" t="s">
        <v>140</v>
      </c>
      <c r="B77" t="s">
        <v>354</v>
      </c>
      <c r="C77" s="4" t="s">
        <v>89</v>
      </c>
      <c r="D77" s="4" t="s">
        <v>70</v>
      </c>
      <c r="E77">
        <v>33</v>
      </c>
      <c r="F77">
        <v>2837</v>
      </c>
      <c r="G77" s="7">
        <f t="shared" si="18"/>
        <v>85.969696969696969</v>
      </c>
      <c r="H77">
        <v>6</v>
      </c>
      <c r="I77">
        <v>1</v>
      </c>
      <c r="J77">
        <v>13</v>
      </c>
      <c r="K77">
        <v>33</v>
      </c>
      <c r="L77" s="7">
        <v>85.969696969696969</v>
      </c>
      <c r="M77" s="3">
        <v>5.38</v>
      </c>
      <c r="N77" s="3">
        <v>5.38</v>
      </c>
      <c r="O77" s="3">
        <v>3.54</v>
      </c>
      <c r="P77" s="2">
        <v>0.17</v>
      </c>
      <c r="Q77" s="2">
        <v>0.11</v>
      </c>
      <c r="R77" s="2">
        <v>0.24618708948998508</v>
      </c>
      <c r="S77" s="2">
        <v>0.23744000000000001</v>
      </c>
      <c r="T77" s="2">
        <f t="shared" si="19"/>
        <v>0.39393939393939392</v>
      </c>
      <c r="U77">
        <v>6</v>
      </c>
      <c r="V77">
        <v>122</v>
      </c>
      <c r="W77" s="7">
        <f t="shared" si="20"/>
        <v>116.48487617539175</v>
      </c>
      <c r="X77" s="7">
        <f t="shared" si="21"/>
        <v>-5.5151238246082528</v>
      </c>
      <c r="Y77" s="2">
        <f t="shared" si="22"/>
        <v>4.7346265074824895E-2</v>
      </c>
      <c r="Z77" s="7"/>
      <c r="AA77" s="3">
        <f t="shared" si="23"/>
        <v>19.414146029231958</v>
      </c>
      <c r="AB77" s="3">
        <f t="shared" si="24"/>
        <v>3.0653914782997829</v>
      </c>
      <c r="AC77" s="2">
        <f t="shared" si="25"/>
        <v>0.51089857971663044</v>
      </c>
      <c r="AD77" s="2">
        <f t="shared" si="26"/>
        <v>0.17756524638329715</v>
      </c>
    </row>
    <row r="78" spans="1:30" x14ac:dyDescent="0.35">
      <c r="A78" t="s">
        <v>607</v>
      </c>
      <c r="B78" t="s">
        <v>107</v>
      </c>
      <c r="C78" s="4" t="s">
        <v>86</v>
      </c>
      <c r="D78" s="4" t="s">
        <v>71</v>
      </c>
      <c r="E78">
        <v>38</v>
      </c>
      <c r="F78">
        <v>3420</v>
      </c>
      <c r="G78" s="7">
        <f t="shared" si="18"/>
        <v>90</v>
      </c>
      <c r="H78">
        <v>0</v>
      </c>
      <c r="I78">
        <v>0</v>
      </c>
      <c r="J78">
        <v>10</v>
      </c>
      <c r="K78">
        <v>38</v>
      </c>
      <c r="L78" s="7">
        <v>90</v>
      </c>
      <c r="M78" s="3">
        <v>0</v>
      </c>
      <c r="N78" s="3">
        <v>0</v>
      </c>
      <c r="O78" s="3">
        <v>0</v>
      </c>
      <c r="P78" s="2">
        <v>0</v>
      </c>
      <c r="Q78" s="2">
        <v>0</v>
      </c>
      <c r="R78" s="2">
        <v>0.20741467510346001</v>
      </c>
      <c r="S78" s="2">
        <v>3.542E-2</v>
      </c>
      <c r="T78" s="2">
        <f t="shared" si="19"/>
        <v>0.26315789473684209</v>
      </c>
      <c r="U78">
        <v>5</v>
      </c>
      <c r="V78">
        <v>131</v>
      </c>
      <c r="W78" s="7">
        <f t="shared" si="20"/>
        <v>116.18107061572593</v>
      </c>
      <c r="X78" s="7">
        <f t="shared" si="21"/>
        <v>-14.818929384274071</v>
      </c>
      <c r="Y78" s="2">
        <f t="shared" si="22"/>
        <v>0.12755029115963598</v>
      </c>
      <c r="Z78" s="7"/>
      <c r="AA78" s="3">
        <f t="shared" si="23"/>
        <v>23.236214123145185</v>
      </c>
      <c r="AB78" s="3">
        <f t="shared" si="24"/>
        <v>3.0573965951506823</v>
      </c>
      <c r="AC78" s="2">
        <f t="shared" si="25"/>
        <v>0.61147931903013641</v>
      </c>
      <c r="AD78" s="2">
        <f t="shared" si="26"/>
        <v>0.21147931903013645</v>
      </c>
    </row>
    <row r="79" spans="1:30" x14ac:dyDescent="0.35">
      <c r="A79" t="s">
        <v>550</v>
      </c>
      <c r="B79" t="s">
        <v>367</v>
      </c>
      <c r="C79" s="4" t="s">
        <v>77</v>
      </c>
      <c r="D79" s="4" t="s">
        <v>70</v>
      </c>
      <c r="E79">
        <v>34</v>
      </c>
      <c r="F79">
        <v>2817</v>
      </c>
      <c r="G79" s="7">
        <f t="shared" si="18"/>
        <v>82.852941176470594</v>
      </c>
      <c r="H79">
        <v>2</v>
      </c>
      <c r="I79">
        <v>7</v>
      </c>
      <c r="J79">
        <v>10</v>
      </c>
      <c r="K79">
        <v>38</v>
      </c>
      <c r="L79" s="7">
        <v>82.852941176470594</v>
      </c>
      <c r="M79" s="3">
        <v>1.71</v>
      </c>
      <c r="N79" s="3">
        <v>1.71</v>
      </c>
      <c r="O79" s="3">
        <v>5.23</v>
      </c>
      <c r="P79" s="2">
        <v>0.05</v>
      </c>
      <c r="Q79" s="2">
        <v>0.17</v>
      </c>
      <c r="R79" s="2">
        <v>0.20048818629108286</v>
      </c>
      <c r="S79" s="2">
        <v>0.14514499999999997</v>
      </c>
      <c r="T79" s="2">
        <f t="shared" si="19"/>
        <v>0.29411764705882354</v>
      </c>
      <c r="U79">
        <v>5.5</v>
      </c>
      <c r="V79">
        <v>111</v>
      </c>
      <c r="W79" s="7">
        <f t="shared" si="20"/>
        <v>115.86609990259058</v>
      </c>
      <c r="X79" s="7">
        <f t="shared" si="21"/>
        <v>4.8660999025905767</v>
      </c>
      <c r="Y79" s="2">
        <f t="shared" si="22"/>
        <v>4.1997615408489113E-2</v>
      </c>
      <c r="Z79" s="7"/>
      <c r="AA79" s="3">
        <f t="shared" si="23"/>
        <v>21.066563618652832</v>
      </c>
      <c r="AB79" s="3">
        <f t="shared" si="24"/>
        <v>3.0491078921734363</v>
      </c>
      <c r="AC79" s="2">
        <f t="shared" si="25"/>
        <v>0.55438325312244296</v>
      </c>
      <c r="AD79" s="2">
        <f t="shared" si="26"/>
        <v>0.19074688948607932</v>
      </c>
    </row>
    <row r="80" spans="1:30" x14ac:dyDescent="0.35">
      <c r="A80" t="s">
        <v>649</v>
      </c>
      <c r="B80" t="s">
        <v>214</v>
      </c>
      <c r="C80" s="4" t="s">
        <v>91</v>
      </c>
      <c r="D80" s="4" t="s">
        <v>69</v>
      </c>
      <c r="E80">
        <v>38</v>
      </c>
      <c r="F80">
        <v>3420</v>
      </c>
      <c r="G80" s="7">
        <f t="shared" si="18"/>
        <v>90</v>
      </c>
      <c r="H80">
        <v>0</v>
      </c>
      <c r="I80">
        <v>0</v>
      </c>
      <c r="J80">
        <v>0</v>
      </c>
      <c r="K80">
        <v>38</v>
      </c>
      <c r="L80" s="7">
        <v>90</v>
      </c>
      <c r="M80" s="3">
        <v>0</v>
      </c>
      <c r="N80" s="3">
        <v>0</v>
      </c>
      <c r="O80" s="3">
        <v>0.01</v>
      </c>
      <c r="P80" s="2">
        <v>0</v>
      </c>
      <c r="Q80" s="2">
        <v>0</v>
      </c>
      <c r="R80" s="2">
        <v>0.31178969617272972</v>
      </c>
      <c r="S80" s="2">
        <v>0.20036249999999997</v>
      </c>
      <c r="T80" s="2">
        <f t="shared" si="19"/>
        <v>0</v>
      </c>
      <c r="U80">
        <v>5</v>
      </c>
      <c r="V80">
        <v>94</v>
      </c>
      <c r="W80" s="7">
        <f t="shared" si="20"/>
        <v>115.77825881825494</v>
      </c>
      <c r="X80" s="7">
        <f t="shared" si="21"/>
        <v>21.77825881825494</v>
      </c>
      <c r="Y80" s="2">
        <f t="shared" si="22"/>
        <v>0.18810318137917209</v>
      </c>
      <c r="Z80" s="7"/>
      <c r="AA80" s="3">
        <f t="shared" si="23"/>
        <v>23.155651763650987</v>
      </c>
      <c r="AB80" s="3">
        <f t="shared" si="24"/>
        <v>3.0467962846909193</v>
      </c>
      <c r="AC80" s="2">
        <f t="shared" si="25"/>
        <v>0.60935925693818382</v>
      </c>
      <c r="AD80" s="2">
        <f t="shared" si="26"/>
        <v>0.20935925693818386</v>
      </c>
    </row>
    <row r="81" spans="1:30" x14ac:dyDescent="0.35">
      <c r="A81" t="s">
        <v>629</v>
      </c>
      <c r="B81" t="s">
        <v>269</v>
      </c>
      <c r="C81" s="4" t="s">
        <v>89</v>
      </c>
      <c r="D81" s="4" t="s">
        <v>69</v>
      </c>
      <c r="E81">
        <v>36</v>
      </c>
      <c r="F81">
        <v>3104</v>
      </c>
      <c r="G81" s="7">
        <f t="shared" si="18"/>
        <v>86.222222222222229</v>
      </c>
      <c r="H81">
        <v>3</v>
      </c>
      <c r="I81">
        <v>0</v>
      </c>
      <c r="J81">
        <v>0</v>
      </c>
      <c r="K81">
        <v>38</v>
      </c>
      <c r="L81" s="7">
        <v>86.222222222222229</v>
      </c>
      <c r="M81" s="3">
        <v>1.85</v>
      </c>
      <c r="N81" s="3">
        <v>1.85</v>
      </c>
      <c r="O81" s="3">
        <v>0.11</v>
      </c>
      <c r="P81" s="2">
        <v>0.05</v>
      </c>
      <c r="Q81" s="2">
        <v>0</v>
      </c>
      <c r="R81" s="2">
        <v>0.24618708948998508</v>
      </c>
      <c r="S81" s="2">
        <v>0.23016</v>
      </c>
      <c r="T81" s="2">
        <f t="shared" si="19"/>
        <v>0</v>
      </c>
      <c r="U81">
        <v>4.5</v>
      </c>
      <c r="V81">
        <v>93</v>
      </c>
      <c r="W81" s="7">
        <f t="shared" si="20"/>
        <v>115.59583908395922</v>
      </c>
      <c r="X81" s="7">
        <f t="shared" si="21"/>
        <v>22.59583908395922</v>
      </c>
      <c r="Y81" s="2">
        <f t="shared" si="22"/>
        <v>0.19547277188366163</v>
      </c>
      <c r="Z81" s="7"/>
      <c r="AA81" s="3">
        <f t="shared" si="23"/>
        <v>25.687964240879825</v>
      </c>
      <c r="AB81" s="3">
        <f t="shared" si="24"/>
        <v>3.0419957653673477</v>
      </c>
      <c r="AC81" s="2">
        <f t="shared" si="25"/>
        <v>0.6759990589705217</v>
      </c>
      <c r="AD81" s="2">
        <f t="shared" si="26"/>
        <v>0.23155461452607728</v>
      </c>
    </row>
    <row r="82" spans="1:30" x14ac:dyDescent="0.35">
      <c r="A82" t="s">
        <v>529</v>
      </c>
      <c r="B82" t="s">
        <v>530</v>
      </c>
      <c r="C82" s="4" t="s">
        <v>74</v>
      </c>
      <c r="D82" s="4" t="s">
        <v>69</v>
      </c>
      <c r="E82">
        <v>31</v>
      </c>
      <c r="F82">
        <v>2588</v>
      </c>
      <c r="G82" s="7">
        <f t="shared" si="18"/>
        <v>83.483870967741936</v>
      </c>
      <c r="H82">
        <v>2</v>
      </c>
      <c r="I82">
        <v>0</v>
      </c>
      <c r="J82">
        <v>0</v>
      </c>
      <c r="K82">
        <v>31</v>
      </c>
      <c r="L82" s="7">
        <v>83.483870967741936</v>
      </c>
      <c r="M82" s="3">
        <v>2.44</v>
      </c>
      <c r="N82" s="3">
        <v>2.44</v>
      </c>
      <c r="O82" s="3">
        <v>0.96</v>
      </c>
      <c r="P82" s="3">
        <v>0.08</v>
      </c>
      <c r="Q82" s="3">
        <v>0.03</v>
      </c>
      <c r="R82" s="2">
        <v>0.34896981428054735</v>
      </c>
      <c r="S82" s="2">
        <v>0.20549999999999999</v>
      </c>
      <c r="T82" s="2">
        <f t="shared" si="19"/>
        <v>0</v>
      </c>
      <c r="U82">
        <v>6</v>
      </c>
      <c r="V82">
        <v>143</v>
      </c>
      <c r="W82" s="7">
        <f t="shared" si="20"/>
        <v>115.29242363745455</v>
      </c>
      <c r="X82" s="7">
        <f t="shared" si="21"/>
        <v>-27.707576362545453</v>
      </c>
      <c r="Y82" s="2">
        <f t="shared" si="22"/>
        <v>0.24032434646073494</v>
      </c>
      <c r="Z82" s="7"/>
      <c r="AA82" s="3">
        <f t="shared" si="23"/>
        <v>19.215403939575758</v>
      </c>
      <c r="AB82" s="3">
        <f t="shared" si="24"/>
        <v>3.0340111483540668</v>
      </c>
      <c r="AC82" s="2">
        <f t="shared" si="25"/>
        <v>0.5056685247256778</v>
      </c>
      <c r="AD82" s="2">
        <f t="shared" si="26"/>
        <v>0.17233519139234446</v>
      </c>
    </row>
    <row r="83" spans="1:30" x14ac:dyDescent="0.35">
      <c r="A83" t="s">
        <v>644</v>
      </c>
      <c r="B83" t="s">
        <v>389</v>
      </c>
      <c r="C83" s="4" t="s">
        <v>91</v>
      </c>
      <c r="D83" s="4" t="s">
        <v>70</v>
      </c>
      <c r="E83">
        <v>38</v>
      </c>
      <c r="F83">
        <v>3053</v>
      </c>
      <c r="G83" s="7">
        <f t="shared" si="18"/>
        <v>80.34210526315789</v>
      </c>
      <c r="H83">
        <v>1</v>
      </c>
      <c r="I83">
        <v>8</v>
      </c>
      <c r="J83">
        <v>13</v>
      </c>
      <c r="K83">
        <v>38</v>
      </c>
      <c r="L83" s="7">
        <v>80.34210526315789</v>
      </c>
      <c r="M83" s="3">
        <v>0.51</v>
      </c>
      <c r="N83" s="3">
        <v>0.51</v>
      </c>
      <c r="O83" s="3">
        <v>6.53</v>
      </c>
      <c r="P83" s="2">
        <v>0.01</v>
      </c>
      <c r="Q83" s="2">
        <v>0.19</v>
      </c>
      <c r="R83" s="2">
        <v>0.31178969617272972</v>
      </c>
      <c r="S83" s="2">
        <v>0.20669999999999999</v>
      </c>
      <c r="T83" s="2">
        <f t="shared" si="19"/>
        <v>0.34210526315789475</v>
      </c>
      <c r="U83">
        <v>5.5</v>
      </c>
      <c r="V83">
        <v>119</v>
      </c>
      <c r="W83" s="7">
        <f t="shared" si="20"/>
        <v>114.02518623234151</v>
      </c>
      <c r="X83" s="7">
        <f t="shared" si="21"/>
        <v>-4.9748137676584889</v>
      </c>
      <c r="Y83" s="2">
        <f t="shared" si="22"/>
        <v>4.3629078206648512E-2</v>
      </c>
      <c r="Z83" s="7"/>
      <c r="AA83" s="3">
        <f t="shared" si="23"/>
        <v>20.731852042243911</v>
      </c>
      <c r="AB83" s="3">
        <f t="shared" si="24"/>
        <v>3.0006627955879344</v>
      </c>
      <c r="AC83" s="2">
        <f t="shared" si="25"/>
        <v>0.54557505374326076</v>
      </c>
      <c r="AD83" s="2">
        <f t="shared" si="26"/>
        <v>0.18193869010689714</v>
      </c>
    </row>
    <row r="84" spans="1:30" x14ac:dyDescent="0.35">
      <c r="A84" t="s">
        <v>544</v>
      </c>
      <c r="B84" t="s">
        <v>115</v>
      </c>
      <c r="C84" s="4" t="s">
        <v>76</v>
      </c>
      <c r="D84" s="4" t="s">
        <v>71</v>
      </c>
      <c r="E84">
        <v>34</v>
      </c>
      <c r="F84">
        <v>3060</v>
      </c>
      <c r="G84" s="7">
        <f t="shared" si="18"/>
        <v>90</v>
      </c>
      <c r="H84">
        <v>0</v>
      </c>
      <c r="I84">
        <v>0</v>
      </c>
      <c r="J84">
        <v>11</v>
      </c>
      <c r="K84">
        <v>38</v>
      </c>
      <c r="L84" s="7">
        <v>90</v>
      </c>
      <c r="M84" s="3">
        <v>0</v>
      </c>
      <c r="N84" s="3">
        <v>0</v>
      </c>
      <c r="O84" s="3">
        <v>0</v>
      </c>
      <c r="P84" s="2">
        <v>0</v>
      </c>
      <c r="Q84" s="2">
        <v>0</v>
      </c>
      <c r="R84" s="2">
        <v>0.17795719394737325</v>
      </c>
      <c r="S84" s="2">
        <v>3.9379999999999998E-2</v>
      </c>
      <c r="T84" s="2">
        <f t="shared" si="19"/>
        <v>0.3235294117647059</v>
      </c>
      <c r="U84">
        <v>4.5</v>
      </c>
      <c r="V84">
        <v>104</v>
      </c>
      <c r="W84" s="7">
        <f t="shared" si="20"/>
        <v>113.84717112705955</v>
      </c>
      <c r="X84" s="7">
        <f t="shared" si="21"/>
        <v>9.8471711270595534</v>
      </c>
      <c r="Y84" s="2">
        <f t="shared" si="22"/>
        <v>8.6494649182539476E-2</v>
      </c>
      <c r="Z84" s="7"/>
      <c r="AA84" s="3">
        <f t="shared" si="23"/>
        <v>25.299371361568788</v>
      </c>
      <c r="AB84" s="3">
        <f t="shared" si="24"/>
        <v>2.9959781875541989</v>
      </c>
      <c r="AC84" s="2">
        <f t="shared" si="25"/>
        <v>0.66577293056759979</v>
      </c>
      <c r="AD84" s="2">
        <f t="shared" si="26"/>
        <v>0.22132848612315531</v>
      </c>
    </row>
    <row r="85" spans="1:30" x14ac:dyDescent="0.35">
      <c r="A85" t="s">
        <v>619</v>
      </c>
      <c r="B85" t="s">
        <v>309</v>
      </c>
      <c r="C85" s="4" t="s">
        <v>88</v>
      </c>
      <c r="D85" s="4" t="s">
        <v>70</v>
      </c>
      <c r="E85">
        <v>25</v>
      </c>
      <c r="F85">
        <v>1847</v>
      </c>
      <c r="G85" s="7">
        <f t="shared" si="18"/>
        <v>73.88</v>
      </c>
      <c r="H85">
        <v>5</v>
      </c>
      <c r="I85">
        <v>3</v>
      </c>
      <c r="J85">
        <v>0</v>
      </c>
      <c r="K85">
        <v>30</v>
      </c>
      <c r="L85" s="7">
        <v>73.88</v>
      </c>
      <c r="M85" s="3">
        <v>5.95</v>
      </c>
      <c r="N85" s="3">
        <v>5.95</v>
      </c>
      <c r="O85" s="3">
        <v>3.29</v>
      </c>
      <c r="P85" s="2">
        <v>0.28999999999999998</v>
      </c>
      <c r="Q85" s="2">
        <v>0.16</v>
      </c>
      <c r="R85" s="2">
        <v>0.36449470299794445</v>
      </c>
      <c r="S85" s="2">
        <v>0.17277999999999999</v>
      </c>
      <c r="T85" s="2">
        <f t="shared" si="19"/>
        <v>0</v>
      </c>
      <c r="U85">
        <v>8.5</v>
      </c>
      <c r="V85">
        <v>94</v>
      </c>
      <c r="W85" s="7">
        <f t="shared" si="20"/>
        <v>113.280907756605</v>
      </c>
      <c r="X85" s="7">
        <f t="shared" si="21"/>
        <v>19.280907756605004</v>
      </c>
      <c r="Y85" s="2">
        <f t="shared" si="22"/>
        <v>0.17020438958727185</v>
      </c>
      <c r="Z85" s="7"/>
      <c r="AA85" s="3">
        <f t="shared" si="23"/>
        <v>13.327165618424118</v>
      </c>
      <c r="AB85" s="3">
        <f t="shared" si="24"/>
        <v>2.9810765199106579</v>
      </c>
      <c r="AC85" s="2">
        <f t="shared" si="25"/>
        <v>0.35071488469537154</v>
      </c>
      <c r="AD85" s="2">
        <f t="shared" si="26"/>
        <v>0.11542076704831269</v>
      </c>
    </row>
    <row r="86" spans="1:30" x14ac:dyDescent="0.35">
      <c r="A86" t="s">
        <v>524</v>
      </c>
      <c r="B86" t="s">
        <v>617</v>
      </c>
      <c r="C86" s="4" t="s">
        <v>88</v>
      </c>
      <c r="D86" s="4" t="s">
        <v>70</v>
      </c>
      <c r="E86">
        <v>32</v>
      </c>
      <c r="F86">
        <v>2133</v>
      </c>
      <c r="G86" s="7">
        <f t="shared" si="18"/>
        <v>66.65625</v>
      </c>
      <c r="H86">
        <v>10</v>
      </c>
      <c r="I86">
        <v>0</v>
      </c>
      <c r="J86">
        <v>0</v>
      </c>
      <c r="K86">
        <v>32</v>
      </c>
      <c r="L86" s="7">
        <v>66.65625</v>
      </c>
      <c r="M86" s="3">
        <v>7.59</v>
      </c>
      <c r="N86" s="3">
        <v>7.59</v>
      </c>
      <c r="O86" s="3">
        <v>1.66</v>
      </c>
      <c r="P86" s="2">
        <v>0.32</v>
      </c>
      <c r="Q86" s="2">
        <v>7.0000000000000007E-2</v>
      </c>
      <c r="R86" s="2">
        <v>0.36449470299794445</v>
      </c>
      <c r="S86" s="2">
        <v>0.17277999999999999</v>
      </c>
      <c r="T86" s="2">
        <f t="shared" si="19"/>
        <v>0</v>
      </c>
      <c r="U86">
        <v>7.5</v>
      </c>
      <c r="V86">
        <v>131</v>
      </c>
      <c r="W86" s="7">
        <f t="shared" si="20"/>
        <v>113.03187049593421</v>
      </c>
      <c r="X86" s="7">
        <f t="shared" si="21"/>
        <v>-17.968129504065786</v>
      </c>
      <c r="Y86" s="2">
        <f t="shared" si="22"/>
        <v>0.15896516111101694</v>
      </c>
      <c r="Z86" s="7"/>
      <c r="AA86" s="3">
        <f t="shared" si="23"/>
        <v>15.070916066124562</v>
      </c>
      <c r="AB86" s="3">
        <f t="shared" si="24"/>
        <v>2.9745229077877426</v>
      </c>
      <c r="AC86" s="2">
        <f t="shared" si="25"/>
        <v>0.39660305437169902</v>
      </c>
      <c r="AD86" s="2">
        <f t="shared" si="26"/>
        <v>0.12993638770503235</v>
      </c>
    </row>
    <row r="87" spans="1:30" x14ac:dyDescent="0.35">
      <c r="A87" t="s">
        <v>564</v>
      </c>
      <c r="B87" t="s">
        <v>344</v>
      </c>
      <c r="C87" s="4" t="s">
        <v>79</v>
      </c>
      <c r="D87" s="4" t="s">
        <v>70</v>
      </c>
      <c r="E87">
        <v>38</v>
      </c>
      <c r="F87">
        <v>3030</v>
      </c>
      <c r="G87" s="7">
        <f t="shared" si="18"/>
        <v>79.736842105263165</v>
      </c>
      <c r="H87">
        <v>6</v>
      </c>
      <c r="I87">
        <v>4</v>
      </c>
      <c r="J87">
        <v>0</v>
      </c>
      <c r="K87">
        <v>38</v>
      </c>
      <c r="L87" s="7">
        <v>79.736842105263165</v>
      </c>
      <c r="M87" s="3">
        <v>4.88</v>
      </c>
      <c r="N87" s="3">
        <v>4.88</v>
      </c>
      <c r="O87" s="3">
        <v>3.7</v>
      </c>
      <c r="P87" s="2">
        <v>0.14000000000000001</v>
      </c>
      <c r="Q87" s="2">
        <v>0.11</v>
      </c>
      <c r="R87" s="2">
        <v>0.23249334149310152</v>
      </c>
      <c r="S87" s="2">
        <v>0.17277999999999999</v>
      </c>
      <c r="T87" s="2">
        <f t="shared" si="19"/>
        <v>0</v>
      </c>
      <c r="U87">
        <v>6</v>
      </c>
      <c r="V87">
        <v>135</v>
      </c>
      <c r="W87" s="7">
        <f t="shared" si="20"/>
        <v>112.94577364340454</v>
      </c>
      <c r="X87" s="7">
        <f t="shared" si="21"/>
        <v>-22.054226356595464</v>
      </c>
      <c r="Y87" s="2">
        <f t="shared" si="22"/>
        <v>0.19526384781980127</v>
      </c>
      <c r="Z87" s="7"/>
      <c r="AA87" s="3">
        <f t="shared" si="23"/>
        <v>18.824295607234088</v>
      </c>
      <c r="AB87" s="3">
        <f t="shared" si="24"/>
        <v>2.9722572011422246</v>
      </c>
      <c r="AC87" s="2">
        <f t="shared" si="25"/>
        <v>0.49537620019037076</v>
      </c>
      <c r="AD87" s="2">
        <f t="shared" si="26"/>
        <v>0.16204286685703742</v>
      </c>
    </row>
    <row r="88" spans="1:30" x14ac:dyDescent="0.35">
      <c r="A88" t="s">
        <v>555</v>
      </c>
      <c r="B88" t="s">
        <v>406</v>
      </c>
      <c r="C88" s="4" t="s">
        <v>78</v>
      </c>
      <c r="D88" s="4" t="s">
        <v>70</v>
      </c>
      <c r="E88">
        <v>36</v>
      </c>
      <c r="F88">
        <v>3103</v>
      </c>
      <c r="G88" s="7">
        <f t="shared" si="18"/>
        <v>86.194444444444443</v>
      </c>
      <c r="H88">
        <v>4</v>
      </c>
      <c r="I88">
        <v>4</v>
      </c>
      <c r="J88">
        <v>0</v>
      </c>
      <c r="K88">
        <v>38</v>
      </c>
      <c r="L88" s="7">
        <v>86.194444444444443</v>
      </c>
      <c r="M88" s="3">
        <v>3.03</v>
      </c>
      <c r="N88" s="3">
        <v>3.03</v>
      </c>
      <c r="O88" s="3">
        <v>3.73</v>
      </c>
      <c r="P88" s="2">
        <v>0.09</v>
      </c>
      <c r="Q88" s="2">
        <v>0.11</v>
      </c>
      <c r="R88" s="2">
        <v>0.40095828778034376</v>
      </c>
      <c r="S88" s="2">
        <v>0.17595999999999998</v>
      </c>
      <c r="T88" s="2">
        <f t="shared" si="19"/>
        <v>0</v>
      </c>
      <c r="U88">
        <v>5</v>
      </c>
      <c r="V88">
        <v>116</v>
      </c>
      <c r="W88" s="7">
        <f t="shared" si="20"/>
        <v>112.93663863935677</v>
      </c>
      <c r="X88" s="7">
        <f t="shared" si="21"/>
        <v>-3.0633613606432277</v>
      </c>
      <c r="Y88" s="2">
        <f t="shared" si="22"/>
        <v>2.7124601878983946E-2</v>
      </c>
      <c r="Z88" s="7"/>
      <c r="AA88" s="3">
        <f t="shared" si="23"/>
        <v>22.587327727871354</v>
      </c>
      <c r="AB88" s="3">
        <f t="shared" si="24"/>
        <v>2.9720168062988623</v>
      </c>
      <c r="AC88" s="2">
        <f t="shared" si="25"/>
        <v>0.59440336125977244</v>
      </c>
      <c r="AD88" s="2">
        <f t="shared" si="26"/>
        <v>0.19440336125977248</v>
      </c>
    </row>
    <row r="89" spans="1:30" x14ac:dyDescent="0.35">
      <c r="B89" t="s">
        <v>11</v>
      </c>
      <c r="C89" s="4" t="s">
        <v>78</v>
      </c>
      <c r="D89" s="4" t="s">
        <v>70</v>
      </c>
      <c r="E89">
        <v>32</v>
      </c>
      <c r="F89">
        <v>2123</v>
      </c>
      <c r="G89" s="7">
        <f t="shared" si="18"/>
        <v>66.34375</v>
      </c>
      <c r="H89">
        <v>3</v>
      </c>
      <c r="I89">
        <v>6</v>
      </c>
      <c r="J89">
        <v>0</v>
      </c>
      <c r="K89">
        <v>32</v>
      </c>
      <c r="L89" s="7">
        <v>66.34375</v>
      </c>
      <c r="M89" s="3">
        <v>4.3499999999999996</v>
      </c>
      <c r="N89" s="3">
        <v>4.3499999999999996</v>
      </c>
      <c r="O89" s="3">
        <v>6.52</v>
      </c>
      <c r="P89" s="2">
        <v>0.18</v>
      </c>
      <c r="Q89" s="2">
        <v>0.28000000000000003</v>
      </c>
      <c r="R89" s="2">
        <v>0.40095828778034376</v>
      </c>
      <c r="S89" s="2">
        <v>0.17595999999999998</v>
      </c>
      <c r="T89" s="2">
        <f t="shared" si="19"/>
        <v>0</v>
      </c>
      <c r="U89">
        <v>7</v>
      </c>
      <c r="V89">
        <v>108</v>
      </c>
      <c r="W89" s="7">
        <f t="shared" si="20"/>
        <v>112.24461187563767</v>
      </c>
      <c r="X89" s="7">
        <f t="shared" si="21"/>
        <v>4.2446118756376734</v>
      </c>
      <c r="Y89" s="2">
        <f t="shared" si="22"/>
        <v>3.7815729456488527E-2</v>
      </c>
      <c r="Z89" s="7"/>
      <c r="AA89" s="3">
        <f t="shared" si="23"/>
        <v>16.034944553662523</v>
      </c>
      <c r="AB89" s="3">
        <f t="shared" si="24"/>
        <v>2.9538055756746755</v>
      </c>
      <c r="AC89" s="2">
        <f t="shared" si="25"/>
        <v>0.42197222509638221</v>
      </c>
      <c r="AD89" s="2">
        <f t="shared" si="26"/>
        <v>0.13625793938209649</v>
      </c>
    </row>
    <row r="90" spans="1:30" x14ac:dyDescent="0.35">
      <c r="A90" t="s">
        <v>348</v>
      </c>
      <c r="B90" t="s">
        <v>370</v>
      </c>
      <c r="C90" s="4" t="s">
        <v>79</v>
      </c>
      <c r="D90" s="4" t="s">
        <v>70</v>
      </c>
      <c r="E90">
        <v>38</v>
      </c>
      <c r="F90">
        <v>3095</v>
      </c>
      <c r="G90" s="7">
        <f t="shared" si="18"/>
        <v>81.44736842105263</v>
      </c>
      <c r="H90">
        <v>3</v>
      </c>
      <c r="I90">
        <v>6</v>
      </c>
      <c r="J90">
        <v>0</v>
      </c>
      <c r="K90">
        <v>38</v>
      </c>
      <c r="L90" s="7">
        <v>81.44736842105263</v>
      </c>
      <c r="M90" s="3">
        <v>4.51</v>
      </c>
      <c r="N90" s="3">
        <v>4.51</v>
      </c>
      <c r="O90" s="3">
        <v>3.72</v>
      </c>
      <c r="P90" s="2">
        <v>0.13</v>
      </c>
      <c r="Q90" s="2">
        <v>0.11</v>
      </c>
      <c r="R90" s="2">
        <v>0.23249334149310152</v>
      </c>
      <c r="S90" s="2">
        <v>0.17277999999999999</v>
      </c>
      <c r="T90" s="2">
        <f t="shared" si="19"/>
        <v>0</v>
      </c>
      <c r="U90">
        <v>5.5</v>
      </c>
      <c r="V90">
        <v>121</v>
      </c>
      <c r="W90" s="7">
        <f t="shared" si="20"/>
        <v>111.97021808784896</v>
      </c>
      <c r="X90" s="7">
        <f t="shared" si="21"/>
        <v>-9.0297819121510372</v>
      </c>
      <c r="Y90" s="2">
        <f t="shared" si="22"/>
        <v>8.0644496959597786E-2</v>
      </c>
      <c r="Z90" s="7"/>
      <c r="AA90" s="3">
        <f t="shared" si="23"/>
        <v>20.358221470517993</v>
      </c>
      <c r="AB90" s="3">
        <f t="shared" si="24"/>
        <v>2.9465846865223413</v>
      </c>
      <c r="AC90" s="2">
        <f t="shared" si="25"/>
        <v>0.53574267027678935</v>
      </c>
      <c r="AD90" s="2">
        <f t="shared" si="26"/>
        <v>0.1721063066404257</v>
      </c>
    </row>
    <row r="91" spans="1:30" x14ac:dyDescent="0.35">
      <c r="A91" t="s">
        <v>115</v>
      </c>
      <c r="B91" t="s">
        <v>215</v>
      </c>
      <c r="C91" s="4" t="s">
        <v>91</v>
      </c>
      <c r="D91" s="4" t="s">
        <v>69</v>
      </c>
      <c r="E91">
        <v>34</v>
      </c>
      <c r="F91">
        <v>3060</v>
      </c>
      <c r="G91" s="7">
        <f t="shared" si="18"/>
        <v>90</v>
      </c>
      <c r="H91">
        <v>1</v>
      </c>
      <c r="I91">
        <v>0</v>
      </c>
      <c r="J91">
        <v>0</v>
      </c>
      <c r="K91">
        <v>34</v>
      </c>
      <c r="L91" s="7">
        <v>90</v>
      </c>
      <c r="M91" s="3">
        <v>1</v>
      </c>
      <c r="N91" s="3">
        <v>1</v>
      </c>
      <c r="O91" s="3">
        <v>0.79</v>
      </c>
      <c r="P91" s="2">
        <v>0.03</v>
      </c>
      <c r="Q91" s="2">
        <v>0.02</v>
      </c>
      <c r="R91" s="2">
        <v>0.31178969617272972</v>
      </c>
      <c r="S91" s="2">
        <v>0.20036249999999997</v>
      </c>
      <c r="T91" s="2">
        <f t="shared" si="19"/>
        <v>0</v>
      </c>
      <c r="U91">
        <v>5</v>
      </c>
      <c r="V91">
        <v>89</v>
      </c>
      <c r="W91" s="7">
        <f t="shared" si="20"/>
        <v>111.75107367949127</v>
      </c>
      <c r="X91" s="7">
        <f t="shared" si="21"/>
        <v>22.75107367949127</v>
      </c>
      <c r="Y91" s="2">
        <f t="shared" si="22"/>
        <v>0.20358707017654884</v>
      </c>
      <c r="Z91" s="7"/>
      <c r="AA91" s="3">
        <f t="shared" si="23"/>
        <v>22.350214735898255</v>
      </c>
      <c r="AB91" s="3">
        <f t="shared" si="24"/>
        <v>2.9408177284076649</v>
      </c>
      <c r="AC91" s="2">
        <f t="shared" si="25"/>
        <v>0.58816354568153295</v>
      </c>
      <c r="AD91" s="2">
        <f t="shared" si="26"/>
        <v>0.18816354568153298</v>
      </c>
    </row>
    <row r="92" spans="1:30" x14ac:dyDescent="0.35">
      <c r="A92" t="s">
        <v>624</v>
      </c>
      <c r="B92" t="s">
        <v>485</v>
      </c>
      <c r="C92" s="4" t="s">
        <v>89</v>
      </c>
      <c r="D92" s="4" t="s">
        <v>72</v>
      </c>
      <c r="E92">
        <v>30</v>
      </c>
      <c r="F92">
        <v>2110</v>
      </c>
      <c r="G92" s="7">
        <f t="shared" si="18"/>
        <v>70.333333333333329</v>
      </c>
      <c r="H92">
        <v>10</v>
      </c>
      <c r="I92">
        <v>5</v>
      </c>
      <c r="J92">
        <v>10</v>
      </c>
      <c r="K92">
        <v>30</v>
      </c>
      <c r="L92" s="7">
        <v>70.333333333333329</v>
      </c>
      <c r="M92" s="3">
        <v>8.33</v>
      </c>
      <c r="N92" s="3">
        <v>8.33</v>
      </c>
      <c r="O92" s="3">
        <v>4.96</v>
      </c>
      <c r="P92" s="2">
        <v>0.36</v>
      </c>
      <c r="Q92" s="2">
        <v>0.21</v>
      </c>
      <c r="R92" s="2">
        <v>0.24618708948998508</v>
      </c>
      <c r="S92" s="2">
        <v>0.23744000000000001</v>
      </c>
      <c r="T92" s="2">
        <f t="shared" si="19"/>
        <v>0.33333333333333331</v>
      </c>
      <c r="U92">
        <v>6.5</v>
      </c>
      <c r="V92">
        <v>133</v>
      </c>
      <c r="W92" s="7">
        <f t="shared" si="20"/>
        <v>111.4068</v>
      </c>
      <c r="X92" s="7">
        <f t="shared" si="21"/>
        <v>-21.593199999999996</v>
      </c>
      <c r="Y92" s="2">
        <f t="shared" si="22"/>
        <v>0.1938229982370914</v>
      </c>
      <c r="Z92" s="7"/>
      <c r="AA92" s="3">
        <f t="shared" si="23"/>
        <v>17.139507692307692</v>
      </c>
      <c r="AB92" s="3">
        <f t="shared" si="24"/>
        <v>2.9317578947368421</v>
      </c>
      <c r="AC92" s="2">
        <f t="shared" si="25"/>
        <v>0.45103967611336032</v>
      </c>
      <c r="AD92" s="2">
        <f t="shared" si="26"/>
        <v>0.14334736842105264</v>
      </c>
    </row>
    <row r="93" spans="1:30" x14ac:dyDescent="0.35">
      <c r="A93" t="s">
        <v>636</v>
      </c>
      <c r="B93" t="s">
        <v>319</v>
      </c>
      <c r="C93" s="4" t="s">
        <v>90</v>
      </c>
      <c r="D93" s="4" t="s">
        <v>70</v>
      </c>
      <c r="E93">
        <v>33</v>
      </c>
      <c r="F93">
        <v>2084</v>
      </c>
      <c r="G93" s="7">
        <f t="shared" si="18"/>
        <v>63.151515151515149</v>
      </c>
      <c r="H93">
        <v>6</v>
      </c>
      <c r="I93">
        <v>4</v>
      </c>
      <c r="J93">
        <v>0</v>
      </c>
      <c r="K93">
        <v>33</v>
      </c>
      <c r="L93" s="7">
        <v>63.151515151515149</v>
      </c>
      <c r="M93" s="3">
        <v>6.07</v>
      </c>
      <c r="N93" s="3">
        <v>6.07</v>
      </c>
      <c r="O93" s="3">
        <v>4.03</v>
      </c>
      <c r="P93" s="2">
        <v>0.26</v>
      </c>
      <c r="Q93" s="2">
        <v>0.17</v>
      </c>
      <c r="R93" s="2">
        <v>0.24817745983836939</v>
      </c>
      <c r="S93" s="2">
        <v>0.17066000000000001</v>
      </c>
      <c r="T93" s="2">
        <f t="shared" si="19"/>
        <v>0</v>
      </c>
      <c r="U93">
        <v>7</v>
      </c>
      <c r="V93">
        <v>118</v>
      </c>
      <c r="W93" s="7">
        <f t="shared" si="20"/>
        <v>110.46963173022175</v>
      </c>
      <c r="X93" s="7">
        <f t="shared" si="21"/>
        <v>-7.5303682697782506</v>
      </c>
      <c r="Y93" s="2">
        <f t="shared" si="22"/>
        <v>6.8166863162612765E-2</v>
      </c>
      <c r="Z93" s="7"/>
      <c r="AA93" s="3">
        <f t="shared" si="23"/>
        <v>15.781375961460251</v>
      </c>
      <c r="AB93" s="3">
        <f t="shared" si="24"/>
        <v>2.907095571847941</v>
      </c>
      <c r="AC93" s="2">
        <f t="shared" si="25"/>
        <v>0.4152993674068487</v>
      </c>
      <c r="AD93" s="2">
        <f t="shared" si="26"/>
        <v>0.129585081692563</v>
      </c>
    </row>
    <row r="94" spans="1:30" x14ac:dyDescent="0.35">
      <c r="A94" t="s">
        <v>531</v>
      </c>
      <c r="B94" t="s">
        <v>158</v>
      </c>
      <c r="C94" s="4" t="s">
        <v>74</v>
      </c>
      <c r="D94" s="4" t="s">
        <v>69</v>
      </c>
      <c r="E94">
        <v>31</v>
      </c>
      <c r="F94">
        <v>2629</v>
      </c>
      <c r="G94" s="7">
        <f t="shared" si="18"/>
        <v>84.806451612903231</v>
      </c>
      <c r="H94">
        <v>2</v>
      </c>
      <c r="I94">
        <v>0</v>
      </c>
      <c r="J94">
        <v>0</v>
      </c>
      <c r="K94">
        <v>31</v>
      </c>
      <c r="L94" s="7">
        <v>84.806451612903231</v>
      </c>
      <c r="M94" s="3">
        <v>1.86</v>
      </c>
      <c r="N94" s="3">
        <v>1.86</v>
      </c>
      <c r="O94" s="3">
        <v>0.28000000000000003</v>
      </c>
      <c r="P94" s="2">
        <v>0.06</v>
      </c>
      <c r="Q94" s="2">
        <v>0.01</v>
      </c>
      <c r="R94" s="2">
        <v>0.34896981428054735</v>
      </c>
      <c r="S94" s="2">
        <v>0.20549999999999999</v>
      </c>
      <c r="T94" s="2">
        <f t="shared" si="19"/>
        <v>0</v>
      </c>
      <c r="U94">
        <v>5.5</v>
      </c>
      <c r="V94">
        <v>80</v>
      </c>
      <c r="W94" s="7">
        <f t="shared" si="20"/>
        <v>110.29409030412121</v>
      </c>
      <c r="X94" s="7">
        <f t="shared" si="21"/>
        <v>30.294090304121212</v>
      </c>
      <c r="Y94" s="2">
        <f t="shared" si="22"/>
        <v>0.27466648684974243</v>
      </c>
      <c r="Z94" s="7"/>
      <c r="AA94" s="3">
        <f t="shared" si="23"/>
        <v>20.053470964385674</v>
      </c>
      <c r="AB94" s="3">
        <f t="shared" si="24"/>
        <v>2.9024760606347688</v>
      </c>
      <c r="AC94" s="2">
        <f t="shared" si="25"/>
        <v>0.52772292011541255</v>
      </c>
      <c r="AD94" s="2">
        <f t="shared" si="26"/>
        <v>0.16408655647904888</v>
      </c>
    </row>
    <row r="95" spans="1:30" x14ac:dyDescent="0.35">
      <c r="A95" t="s">
        <v>552</v>
      </c>
      <c r="B95" t="s">
        <v>192</v>
      </c>
      <c r="C95" s="4" t="s">
        <v>77</v>
      </c>
      <c r="D95" s="4" t="s">
        <v>69</v>
      </c>
      <c r="E95">
        <v>38</v>
      </c>
      <c r="F95">
        <v>3420</v>
      </c>
      <c r="G95" s="7">
        <f t="shared" si="18"/>
        <v>90</v>
      </c>
      <c r="H95">
        <v>0</v>
      </c>
      <c r="I95">
        <v>2</v>
      </c>
      <c r="J95">
        <v>0</v>
      </c>
      <c r="K95">
        <v>38</v>
      </c>
      <c r="L95" s="7">
        <v>90</v>
      </c>
      <c r="M95" s="3">
        <v>1.1499999999999999</v>
      </c>
      <c r="N95" s="3">
        <v>1.1499999999999999</v>
      </c>
      <c r="O95" s="3">
        <v>1.52</v>
      </c>
      <c r="P95" s="2">
        <v>0.03</v>
      </c>
      <c r="Q95" s="2">
        <v>0.04</v>
      </c>
      <c r="R95" s="2">
        <v>0.20048818629108286</v>
      </c>
      <c r="S95" s="2">
        <v>0.20858249999999998</v>
      </c>
      <c r="T95" s="2">
        <f t="shared" si="19"/>
        <v>0</v>
      </c>
      <c r="U95">
        <v>5</v>
      </c>
      <c r="V95">
        <v>81</v>
      </c>
      <c r="W95" s="7">
        <f t="shared" si="20"/>
        <v>109.9480693162446</v>
      </c>
      <c r="X95" s="7">
        <f t="shared" si="21"/>
        <v>28.948069316244599</v>
      </c>
      <c r="Y95" s="2">
        <f t="shared" si="22"/>
        <v>0.26328856428557207</v>
      </c>
      <c r="Z95" s="7"/>
      <c r="AA95" s="3">
        <f t="shared" si="23"/>
        <v>21.98961386324892</v>
      </c>
      <c r="AB95" s="3">
        <f t="shared" si="24"/>
        <v>2.8933702451643315</v>
      </c>
      <c r="AC95" s="2">
        <f t="shared" si="25"/>
        <v>0.57867404903286634</v>
      </c>
      <c r="AD95" s="2">
        <f t="shared" si="26"/>
        <v>0.17867404903286629</v>
      </c>
    </row>
    <row r="96" spans="1:30" x14ac:dyDescent="0.35">
      <c r="A96" t="s">
        <v>595</v>
      </c>
      <c r="B96" t="s">
        <v>378</v>
      </c>
      <c r="C96" s="4" t="s">
        <v>84</v>
      </c>
      <c r="D96" s="4" t="s">
        <v>70</v>
      </c>
      <c r="E96">
        <v>31</v>
      </c>
      <c r="F96">
        <v>2133</v>
      </c>
      <c r="G96" s="7">
        <f t="shared" si="18"/>
        <v>68.806451612903231</v>
      </c>
      <c r="H96">
        <v>6</v>
      </c>
      <c r="I96">
        <v>3</v>
      </c>
      <c r="J96">
        <v>0</v>
      </c>
      <c r="K96">
        <v>31</v>
      </c>
      <c r="L96" s="7">
        <v>68.806451612903231</v>
      </c>
      <c r="M96" s="3">
        <v>4.21</v>
      </c>
      <c r="N96" s="3">
        <v>4.21</v>
      </c>
      <c r="O96" s="3">
        <v>4.97</v>
      </c>
      <c r="P96" s="2">
        <v>0.18</v>
      </c>
      <c r="Q96" s="2">
        <v>0.21</v>
      </c>
      <c r="R96" s="2">
        <v>0.49952142743233141</v>
      </c>
      <c r="S96" s="2">
        <v>0.12825999999999999</v>
      </c>
      <c r="T96" s="2">
        <f t="shared" si="19"/>
        <v>0</v>
      </c>
      <c r="U96">
        <v>5.5</v>
      </c>
      <c r="V96">
        <v>113</v>
      </c>
      <c r="W96" s="7">
        <f t="shared" si="20"/>
        <v>109.77010425040226</v>
      </c>
      <c r="X96" s="7">
        <f t="shared" si="21"/>
        <v>-3.2298957495977447</v>
      </c>
      <c r="Y96" s="2">
        <f t="shared" si="22"/>
        <v>2.942418404040013E-2</v>
      </c>
      <c r="Z96" s="7"/>
      <c r="AA96" s="3">
        <f t="shared" si="23"/>
        <v>19.95820077280041</v>
      </c>
      <c r="AB96" s="3">
        <f t="shared" si="24"/>
        <v>2.8886869539579543</v>
      </c>
      <c r="AC96" s="2">
        <f t="shared" si="25"/>
        <v>0.52521580981053717</v>
      </c>
      <c r="AD96" s="2">
        <f t="shared" si="26"/>
        <v>0.1615794461741735</v>
      </c>
    </row>
    <row r="97" spans="1:30" x14ac:dyDescent="0.35">
      <c r="A97" t="s">
        <v>257</v>
      </c>
      <c r="B97" t="s">
        <v>232</v>
      </c>
      <c r="C97" s="4" t="s">
        <v>76</v>
      </c>
      <c r="D97" s="4" t="s">
        <v>69</v>
      </c>
      <c r="E97">
        <v>36</v>
      </c>
      <c r="F97">
        <v>3154</v>
      </c>
      <c r="G97" s="7">
        <f t="shared" si="18"/>
        <v>87.611111111111114</v>
      </c>
      <c r="H97">
        <v>2</v>
      </c>
      <c r="I97">
        <v>1</v>
      </c>
      <c r="J97">
        <v>0</v>
      </c>
      <c r="K97">
        <v>38</v>
      </c>
      <c r="L97" s="7">
        <v>87.611111111111114</v>
      </c>
      <c r="M97" s="3">
        <v>1.76</v>
      </c>
      <c r="N97" s="3">
        <v>1.76</v>
      </c>
      <c r="O97" s="3">
        <v>0.75</v>
      </c>
      <c r="P97" s="2">
        <v>0.05</v>
      </c>
      <c r="Q97" s="2">
        <v>0.02</v>
      </c>
      <c r="R97" s="2">
        <v>0.17795719394737325</v>
      </c>
      <c r="S97" s="2">
        <v>0.18392249999999999</v>
      </c>
      <c r="T97" s="2">
        <f t="shared" si="19"/>
        <v>0</v>
      </c>
      <c r="U97">
        <v>4.5</v>
      </c>
      <c r="V97">
        <v>91</v>
      </c>
      <c r="W97" s="7">
        <f t="shared" si="20"/>
        <v>109.37732736888961</v>
      </c>
      <c r="X97" s="7">
        <f t="shared" si="21"/>
        <v>18.37732736888961</v>
      </c>
      <c r="Y97" s="2">
        <f t="shared" si="22"/>
        <v>0.16801770358595092</v>
      </c>
      <c r="Z97" s="7"/>
      <c r="AA97" s="3">
        <f t="shared" si="23"/>
        <v>24.306072748642137</v>
      </c>
      <c r="AB97" s="3">
        <f t="shared" si="24"/>
        <v>2.8783507202339371</v>
      </c>
      <c r="AC97" s="2">
        <f t="shared" si="25"/>
        <v>0.63963349338531938</v>
      </c>
      <c r="AD97" s="2">
        <f t="shared" si="26"/>
        <v>0.19518904894087491</v>
      </c>
    </row>
    <row r="98" spans="1:30" x14ac:dyDescent="0.35">
      <c r="A98" t="s">
        <v>628</v>
      </c>
      <c r="B98" t="s">
        <v>212</v>
      </c>
      <c r="C98" s="4" t="s">
        <v>89</v>
      </c>
      <c r="D98" s="4" t="s">
        <v>69</v>
      </c>
      <c r="E98">
        <v>28</v>
      </c>
      <c r="F98">
        <v>2395</v>
      </c>
      <c r="G98" s="7">
        <f t="shared" ref="G98:G129" si="27">F98/E98</f>
        <v>85.535714285714292</v>
      </c>
      <c r="H98">
        <v>3</v>
      </c>
      <c r="I98">
        <v>6</v>
      </c>
      <c r="J98">
        <v>10</v>
      </c>
      <c r="K98">
        <v>28</v>
      </c>
      <c r="L98" s="7">
        <v>85.535714285714292</v>
      </c>
      <c r="M98" s="3">
        <v>0.94</v>
      </c>
      <c r="N98" s="3">
        <v>0.94</v>
      </c>
      <c r="O98" s="3">
        <v>4.58</v>
      </c>
      <c r="P98" s="2">
        <v>0.04</v>
      </c>
      <c r="Q98" s="2">
        <v>0.17</v>
      </c>
      <c r="R98" s="2">
        <v>0.24618708948998508</v>
      </c>
      <c r="S98" s="2">
        <v>0.23016</v>
      </c>
      <c r="T98" s="2">
        <f t="shared" ref="T98:T129" si="28">J98/E98</f>
        <v>0.35714285714285715</v>
      </c>
      <c r="U98">
        <v>5</v>
      </c>
      <c r="V98">
        <v>93</v>
      </c>
      <c r="W98" s="7">
        <f t="shared" ref="W98:W129" si="29">calcPoints(D98,K98,L98,P98,Q98,R98,S98,T98)</f>
        <v>107.08680735621165</v>
      </c>
      <c r="X98" s="7">
        <f t="shared" ref="X98:X129" si="30">W98-V98</f>
        <v>14.086807356211651</v>
      </c>
      <c r="Y98" s="2">
        <f t="shared" ref="Y98:Y129" si="31">ABS(X98/W98)</f>
        <v>0.13154568432835564</v>
      </c>
      <c r="Z98" s="7"/>
      <c r="AA98" s="3">
        <f t="shared" ref="AA98:AA129" si="32">W98/U98</f>
        <v>21.41736147124233</v>
      </c>
      <c r="AB98" s="3">
        <f t="shared" ref="AB98:AB129" si="33">W98/38</f>
        <v>2.8180738777950434</v>
      </c>
      <c r="AC98" s="2">
        <f t="shared" ref="AC98:AC129" si="34">AB98/U98</f>
        <v>0.56361477555900863</v>
      </c>
      <c r="AD98" s="2">
        <f t="shared" ref="AD98:AD129" si="35">(AB98-2)/U98</f>
        <v>0.16361477555900866</v>
      </c>
    </row>
    <row r="99" spans="1:30" x14ac:dyDescent="0.35">
      <c r="A99" t="s">
        <v>550</v>
      </c>
      <c r="B99" t="s">
        <v>177</v>
      </c>
      <c r="C99" s="4" t="s">
        <v>85</v>
      </c>
      <c r="D99" s="4" t="s">
        <v>69</v>
      </c>
      <c r="E99">
        <v>30</v>
      </c>
      <c r="F99">
        <v>2565</v>
      </c>
      <c r="G99" s="7">
        <f t="shared" si="27"/>
        <v>85.5</v>
      </c>
      <c r="H99">
        <v>2</v>
      </c>
      <c r="I99">
        <v>2</v>
      </c>
      <c r="J99">
        <v>0</v>
      </c>
      <c r="K99">
        <v>30</v>
      </c>
      <c r="L99" s="7">
        <v>85.5</v>
      </c>
      <c r="M99" s="3">
        <v>0.49</v>
      </c>
      <c r="N99" s="3">
        <v>0.49</v>
      </c>
      <c r="O99" s="3">
        <v>4</v>
      </c>
      <c r="P99" s="2">
        <v>0.02</v>
      </c>
      <c r="Q99" s="2">
        <v>0.14000000000000001</v>
      </c>
      <c r="R99" s="2">
        <v>0.31306353319569563</v>
      </c>
      <c r="S99" s="2">
        <v>0.21885749999999998</v>
      </c>
      <c r="T99" s="2">
        <f t="shared" si="28"/>
        <v>0</v>
      </c>
      <c r="U99">
        <v>5.5</v>
      </c>
      <c r="V99">
        <v>73</v>
      </c>
      <c r="W99" s="7">
        <f t="shared" si="29"/>
        <v>106.39189898348349</v>
      </c>
      <c r="X99" s="7">
        <f t="shared" si="30"/>
        <v>33.391898983483486</v>
      </c>
      <c r="Y99" s="2">
        <f t="shared" si="31"/>
        <v>0.31385753335098682</v>
      </c>
      <c r="Z99" s="7"/>
      <c r="AA99" s="3">
        <f t="shared" si="32"/>
        <v>19.343981633360634</v>
      </c>
      <c r="AB99" s="3">
        <f t="shared" si="33"/>
        <v>2.7997868153548287</v>
      </c>
      <c r="AC99" s="2">
        <f t="shared" si="34"/>
        <v>0.50905214824633249</v>
      </c>
      <c r="AD99" s="2">
        <f t="shared" si="35"/>
        <v>0.14541578460996885</v>
      </c>
    </row>
    <row r="100" spans="1:30" x14ac:dyDescent="0.35">
      <c r="B100" t="s">
        <v>23</v>
      </c>
      <c r="C100" s="4" t="s">
        <v>74</v>
      </c>
      <c r="D100" s="4" t="s">
        <v>69</v>
      </c>
      <c r="E100">
        <v>25</v>
      </c>
      <c r="F100">
        <v>2198</v>
      </c>
      <c r="G100" s="7">
        <f t="shared" si="27"/>
        <v>87.92</v>
      </c>
      <c r="H100">
        <v>1</v>
      </c>
      <c r="I100">
        <v>2</v>
      </c>
      <c r="J100">
        <v>0</v>
      </c>
      <c r="K100">
        <v>30</v>
      </c>
      <c r="L100" s="7">
        <v>87.92</v>
      </c>
      <c r="M100" s="3">
        <v>0.83</v>
      </c>
      <c r="N100" s="3">
        <v>0.83</v>
      </c>
      <c r="O100" s="3">
        <v>0.63</v>
      </c>
      <c r="P100" s="2">
        <v>0.03</v>
      </c>
      <c r="Q100" s="2">
        <v>0.03</v>
      </c>
      <c r="R100" s="2">
        <v>0.34896981428054735</v>
      </c>
      <c r="S100" s="2">
        <v>0.20549999999999999</v>
      </c>
      <c r="T100" s="2">
        <f t="shared" si="28"/>
        <v>0</v>
      </c>
      <c r="U100">
        <v>5</v>
      </c>
      <c r="V100">
        <v>64</v>
      </c>
      <c r="W100" s="7">
        <f t="shared" si="29"/>
        <v>103.62417771366569</v>
      </c>
      <c r="X100" s="7">
        <f t="shared" si="30"/>
        <v>39.624177713665688</v>
      </c>
      <c r="Y100" s="2">
        <f t="shared" si="31"/>
        <v>0.38238351886521321</v>
      </c>
      <c r="Z100" s="7"/>
      <c r="AA100" s="3">
        <f t="shared" si="32"/>
        <v>20.724835542733139</v>
      </c>
      <c r="AB100" s="3">
        <f t="shared" si="33"/>
        <v>2.7269520450964655</v>
      </c>
      <c r="AC100" s="2">
        <f t="shared" si="34"/>
        <v>0.54539040901929314</v>
      </c>
      <c r="AD100" s="2">
        <f t="shared" si="35"/>
        <v>0.14539040901929309</v>
      </c>
    </row>
    <row r="101" spans="1:30" x14ac:dyDescent="0.35">
      <c r="A101" t="s">
        <v>588</v>
      </c>
      <c r="B101" t="s">
        <v>375</v>
      </c>
      <c r="C101" s="4" t="s">
        <v>83</v>
      </c>
      <c r="D101" s="4" t="s">
        <v>70</v>
      </c>
      <c r="E101">
        <v>35</v>
      </c>
      <c r="F101">
        <v>2749</v>
      </c>
      <c r="G101" s="7">
        <f t="shared" si="27"/>
        <v>78.542857142857144</v>
      </c>
      <c r="H101">
        <v>3</v>
      </c>
      <c r="I101">
        <v>0</v>
      </c>
      <c r="J101">
        <v>0</v>
      </c>
      <c r="K101">
        <v>35</v>
      </c>
      <c r="L101" s="7">
        <v>78.542857142857144</v>
      </c>
      <c r="M101" s="3">
        <v>3.18</v>
      </c>
      <c r="N101" s="3">
        <v>3.18</v>
      </c>
      <c r="O101" s="3">
        <v>1.94</v>
      </c>
      <c r="P101" s="2">
        <v>0.1</v>
      </c>
      <c r="Q101" s="2">
        <v>0.06</v>
      </c>
      <c r="R101" s="2">
        <v>0.47229316106643499</v>
      </c>
      <c r="S101" s="2">
        <v>0.11448</v>
      </c>
      <c r="T101" s="2">
        <f t="shared" si="28"/>
        <v>0</v>
      </c>
      <c r="U101">
        <v>5.5</v>
      </c>
      <c r="V101">
        <v>108</v>
      </c>
      <c r="W101" s="7">
        <f t="shared" si="29"/>
        <v>103.29368285954745</v>
      </c>
      <c r="X101" s="7">
        <f t="shared" si="30"/>
        <v>-4.7063171404525548</v>
      </c>
      <c r="Y101" s="2">
        <f t="shared" si="31"/>
        <v>4.5562487561334436E-2</v>
      </c>
      <c r="Z101" s="7"/>
      <c r="AA101" s="3">
        <f t="shared" si="32"/>
        <v>18.780669610826809</v>
      </c>
      <c r="AB101" s="3">
        <f t="shared" si="33"/>
        <v>2.7182548120933538</v>
      </c>
      <c r="AC101" s="2">
        <f t="shared" si="34"/>
        <v>0.49422814765333706</v>
      </c>
      <c r="AD101" s="2">
        <f t="shared" si="35"/>
        <v>0.13059178401697344</v>
      </c>
    </row>
    <row r="102" spans="1:30" x14ac:dyDescent="0.35">
      <c r="A102" t="s">
        <v>554</v>
      </c>
      <c r="B102" t="s">
        <v>226</v>
      </c>
      <c r="C102" s="4" t="s">
        <v>77</v>
      </c>
      <c r="D102" s="4" t="s">
        <v>69</v>
      </c>
      <c r="E102">
        <v>38</v>
      </c>
      <c r="F102">
        <v>3238</v>
      </c>
      <c r="G102" s="7">
        <f t="shared" si="27"/>
        <v>85.21052631578948</v>
      </c>
      <c r="H102">
        <v>0</v>
      </c>
      <c r="I102">
        <v>1</v>
      </c>
      <c r="J102">
        <v>0</v>
      </c>
      <c r="K102">
        <v>38</v>
      </c>
      <c r="L102" s="7">
        <v>85.21052631578948</v>
      </c>
      <c r="M102" s="3">
        <v>0.11</v>
      </c>
      <c r="N102" s="3">
        <v>0.11</v>
      </c>
      <c r="O102" s="3">
        <v>1.45</v>
      </c>
      <c r="P102" s="2">
        <v>0</v>
      </c>
      <c r="Q102" s="2">
        <v>0.04</v>
      </c>
      <c r="R102" s="2">
        <v>0.20048818629108286</v>
      </c>
      <c r="S102" s="2">
        <v>0.20858249999999998</v>
      </c>
      <c r="T102" s="2">
        <f t="shared" si="28"/>
        <v>0</v>
      </c>
      <c r="U102">
        <v>4.5</v>
      </c>
      <c r="V102">
        <v>82</v>
      </c>
      <c r="W102" s="7">
        <f t="shared" si="29"/>
        <v>102.86540264957794</v>
      </c>
      <c r="X102" s="7">
        <f t="shared" si="30"/>
        <v>20.865402649577945</v>
      </c>
      <c r="Y102" s="2">
        <f t="shared" si="31"/>
        <v>0.20284179240184558</v>
      </c>
      <c r="Z102" s="7"/>
      <c r="AA102" s="3">
        <f t="shared" si="32"/>
        <v>22.858978366572877</v>
      </c>
      <c r="AB102" s="3">
        <f t="shared" si="33"/>
        <v>2.7069842802520512</v>
      </c>
      <c r="AC102" s="2">
        <f t="shared" si="34"/>
        <v>0.60155206227823355</v>
      </c>
      <c r="AD102" s="2">
        <f t="shared" si="35"/>
        <v>0.15710761783378915</v>
      </c>
    </row>
    <row r="103" spans="1:30" x14ac:dyDescent="0.35">
      <c r="A103" t="s">
        <v>641</v>
      </c>
      <c r="B103" t="s">
        <v>275</v>
      </c>
      <c r="C103" s="4" t="s">
        <v>90</v>
      </c>
      <c r="D103" s="4" t="s">
        <v>69</v>
      </c>
      <c r="E103">
        <v>33</v>
      </c>
      <c r="F103">
        <v>2970</v>
      </c>
      <c r="G103" s="7">
        <f t="shared" si="27"/>
        <v>90</v>
      </c>
      <c r="H103">
        <v>1</v>
      </c>
      <c r="I103">
        <v>0</v>
      </c>
      <c r="J103">
        <v>0</v>
      </c>
      <c r="K103">
        <v>33</v>
      </c>
      <c r="L103" s="7">
        <v>90</v>
      </c>
      <c r="M103" s="3">
        <v>1.26</v>
      </c>
      <c r="N103" s="3">
        <v>1.26</v>
      </c>
      <c r="O103" s="3">
        <v>0.18</v>
      </c>
      <c r="P103" s="2">
        <v>0.04</v>
      </c>
      <c r="Q103" s="2">
        <v>0.01</v>
      </c>
      <c r="R103" s="2">
        <v>0.24817745983836939</v>
      </c>
      <c r="S103" s="2">
        <v>0.16542750000000001</v>
      </c>
      <c r="T103" s="2">
        <f t="shared" si="28"/>
        <v>0</v>
      </c>
      <c r="U103">
        <v>4.5</v>
      </c>
      <c r="V103">
        <v>87</v>
      </c>
      <c r="W103" s="7">
        <f t="shared" si="29"/>
        <v>102.21031719866477</v>
      </c>
      <c r="X103" s="7">
        <f t="shared" si="30"/>
        <v>15.210317198664768</v>
      </c>
      <c r="Y103" s="2">
        <f t="shared" si="31"/>
        <v>0.1488139124849861</v>
      </c>
      <c r="Z103" s="7"/>
      <c r="AA103" s="3">
        <f t="shared" si="32"/>
        <v>22.713403821925503</v>
      </c>
      <c r="AB103" s="3">
        <f t="shared" si="33"/>
        <v>2.6897451894385465</v>
      </c>
      <c r="AC103" s="2">
        <f t="shared" si="34"/>
        <v>0.59772115320856589</v>
      </c>
      <c r="AD103" s="2">
        <f t="shared" si="35"/>
        <v>0.15327670876412144</v>
      </c>
    </row>
    <row r="104" spans="1:30" x14ac:dyDescent="0.35">
      <c r="B104" t="s">
        <v>22</v>
      </c>
      <c r="C104" s="4" t="s">
        <v>78</v>
      </c>
      <c r="D104" s="4" t="s">
        <v>70</v>
      </c>
      <c r="E104">
        <v>37</v>
      </c>
      <c r="F104">
        <v>3179</v>
      </c>
      <c r="G104" s="7">
        <f t="shared" si="27"/>
        <v>85.918918918918919</v>
      </c>
      <c r="H104">
        <v>2</v>
      </c>
      <c r="I104">
        <v>0</v>
      </c>
      <c r="J104">
        <v>0</v>
      </c>
      <c r="K104">
        <v>38</v>
      </c>
      <c r="L104" s="7">
        <v>85.918918918918919</v>
      </c>
      <c r="M104" s="3">
        <v>1.3</v>
      </c>
      <c r="N104" s="3">
        <v>0.54</v>
      </c>
      <c r="O104" s="3">
        <v>3.07</v>
      </c>
      <c r="P104" s="2">
        <v>0.04</v>
      </c>
      <c r="Q104" s="2">
        <v>0.09</v>
      </c>
      <c r="R104" s="2">
        <v>0.40095828778034376</v>
      </c>
      <c r="S104" s="2">
        <v>0.17595999999999998</v>
      </c>
      <c r="T104" s="2">
        <f t="shared" si="28"/>
        <v>0</v>
      </c>
      <c r="U104">
        <v>5</v>
      </c>
      <c r="V104">
        <v>96</v>
      </c>
      <c r="W104" s="7">
        <f t="shared" si="29"/>
        <v>101.6000670677852</v>
      </c>
      <c r="X104" s="7">
        <f t="shared" si="30"/>
        <v>5.6000670677852042</v>
      </c>
      <c r="Y104" s="2">
        <f t="shared" si="31"/>
        <v>5.5118733967458602E-2</v>
      </c>
      <c r="Z104" s="7"/>
      <c r="AA104" s="3">
        <f t="shared" si="32"/>
        <v>20.320013413557042</v>
      </c>
      <c r="AB104" s="3">
        <f t="shared" si="33"/>
        <v>2.6736859754680316</v>
      </c>
      <c r="AC104" s="2">
        <f t="shared" si="34"/>
        <v>0.53473719509360629</v>
      </c>
      <c r="AD104" s="2">
        <f t="shared" si="35"/>
        <v>0.13473719509360632</v>
      </c>
    </row>
    <row r="105" spans="1:30" x14ac:dyDescent="0.35">
      <c r="A105" t="s">
        <v>604</v>
      </c>
      <c r="B105" t="s">
        <v>178</v>
      </c>
      <c r="C105" s="4" t="s">
        <v>85</v>
      </c>
      <c r="D105" s="4" t="s">
        <v>69</v>
      </c>
      <c r="E105">
        <v>30</v>
      </c>
      <c r="F105">
        <v>2604</v>
      </c>
      <c r="G105" s="7">
        <f t="shared" si="27"/>
        <v>86.8</v>
      </c>
      <c r="H105">
        <v>1</v>
      </c>
      <c r="I105">
        <v>1</v>
      </c>
      <c r="J105">
        <v>0</v>
      </c>
      <c r="K105">
        <v>30</v>
      </c>
      <c r="L105" s="7">
        <v>86.8</v>
      </c>
      <c r="M105" s="3">
        <v>0.84</v>
      </c>
      <c r="N105" s="3">
        <v>0.84</v>
      </c>
      <c r="O105" s="3">
        <v>1.58</v>
      </c>
      <c r="P105" s="2">
        <v>0.03</v>
      </c>
      <c r="Q105" s="2">
        <v>0.05</v>
      </c>
      <c r="R105" s="2">
        <v>0.31306353319569563</v>
      </c>
      <c r="S105" s="2">
        <v>0.21885749999999998</v>
      </c>
      <c r="T105" s="2">
        <f t="shared" si="28"/>
        <v>0</v>
      </c>
      <c r="U105">
        <v>5.5</v>
      </c>
      <c r="V105">
        <v>85</v>
      </c>
      <c r="W105" s="7">
        <f t="shared" si="29"/>
        <v>100.54989898348347</v>
      </c>
      <c r="X105" s="7">
        <f t="shared" si="30"/>
        <v>15.549898983483473</v>
      </c>
      <c r="Y105" s="2">
        <f t="shared" si="31"/>
        <v>0.1546485788716479</v>
      </c>
      <c r="Z105" s="7"/>
      <c r="AA105" s="3">
        <f t="shared" si="32"/>
        <v>18.281799815178815</v>
      </c>
      <c r="AB105" s="3">
        <f t="shared" si="33"/>
        <v>2.646049973249565</v>
      </c>
      <c r="AC105" s="2">
        <f t="shared" si="34"/>
        <v>0.48109999513628454</v>
      </c>
      <c r="AD105" s="2">
        <f t="shared" si="35"/>
        <v>0.11746363149992091</v>
      </c>
    </row>
    <row r="106" spans="1:30" x14ac:dyDescent="0.35">
      <c r="A106" t="s">
        <v>579</v>
      </c>
      <c r="B106" t="s">
        <v>410</v>
      </c>
      <c r="C106" s="4" t="s">
        <v>82</v>
      </c>
      <c r="D106" s="4" t="s">
        <v>70</v>
      </c>
      <c r="E106">
        <v>38</v>
      </c>
      <c r="F106">
        <v>3305</v>
      </c>
      <c r="G106" s="7">
        <f t="shared" si="27"/>
        <v>86.973684210526315</v>
      </c>
      <c r="H106">
        <v>2</v>
      </c>
      <c r="I106">
        <v>0</v>
      </c>
      <c r="J106">
        <v>0</v>
      </c>
      <c r="K106">
        <v>38</v>
      </c>
      <c r="L106" s="7">
        <v>86.973684210526315</v>
      </c>
      <c r="M106" s="3">
        <v>3.12</v>
      </c>
      <c r="N106" s="3">
        <v>3.12</v>
      </c>
      <c r="O106" s="3">
        <v>1.69</v>
      </c>
      <c r="P106" s="2">
        <v>0.08</v>
      </c>
      <c r="Q106" s="2">
        <v>0.05</v>
      </c>
      <c r="R106" s="2">
        <v>0.28400412610928571</v>
      </c>
      <c r="S106" s="2">
        <v>0.18656</v>
      </c>
      <c r="T106" s="2">
        <f t="shared" si="28"/>
        <v>0</v>
      </c>
      <c r="U106">
        <v>5</v>
      </c>
      <c r="V106">
        <v>89</v>
      </c>
      <c r="W106" s="7">
        <f t="shared" si="29"/>
        <v>99.900099014375073</v>
      </c>
      <c r="X106" s="7">
        <f t="shared" si="30"/>
        <v>10.900099014375073</v>
      </c>
      <c r="Y106" s="2">
        <f t="shared" si="31"/>
        <v>0.10910999210127519</v>
      </c>
      <c r="Z106" s="7"/>
      <c r="AA106" s="3">
        <f t="shared" si="32"/>
        <v>19.980019802875013</v>
      </c>
      <c r="AB106" s="3">
        <f t="shared" si="33"/>
        <v>2.6289499740625017</v>
      </c>
      <c r="AC106" s="2">
        <f t="shared" si="34"/>
        <v>0.52578999481250033</v>
      </c>
      <c r="AD106" s="2">
        <f t="shared" si="35"/>
        <v>0.12578999481250036</v>
      </c>
    </row>
    <row r="107" spans="1:30" x14ac:dyDescent="0.35">
      <c r="A107" t="s">
        <v>539</v>
      </c>
      <c r="B107" t="s">
        <v>320</v>
      </c>
      <c r="C107" s="4" t="s">
        <v>76</v>
      </c>
      <c r="D107" s="4" t="s">
        <v>70</v>
      </c>
      <c r="E107">
        <v>25</v>
      </c>
      <c r="F107">
        <v>1896</v>
      </c>
      <c r="G107" s="7">
        <f t="shared" si="27"/>
        <v>75.84</v>
      </c>
      <c r="H107">
        <v>3</v>
      </c>
      <c r="I107" t="s">
        <v>520</v>
      </c>
      <c r="J107">
        <v>12</v>
      </c>
      <c r="K107">
        <v>25</v>
      </c>
      <c r="L107" s="7">
        <v>75.84</v>
      </c>
      <c r="M107" s="3">
        <v>4.1399999999999997</v>
      </c>
      <c r="N107" s="3">
        <v>2.62</v>
      </c>
      <c r="O107" s="3">
        <v>5.61</v>
      </c>
      <c r="P107" s="2">
        <v>0.2</v>
      </c>
      <c r="Q107" s="2">
        <v>0.27</v>
      </c>
      <c r="R107" s="2">
        <v>0.17795719394737325</v>
      </c>
      <c r="S107" s="2">
        <v>0.18973999999999999</v>
      </c>
      <c r="T107" s="2">
        <f t="shared" si="28"/>
        <v>0.48</v>
      </c>
      <c r="U107">
        <v>6.5</v>
      </c>
      <c r="V107">
        <v>80</v>
      </c>
      <c r="W107" s="7">
        <f t="shared" si="29"/>
        <v>99.836096515351002</v>
      </c>
      <c r="X107" s="7">
        <f t="shared" si="30"/>
        <v>19.836096515351002</v>
      </c>
      <c r="Y107" s="2">
        <f t="shared" si="31"/>
        <v>0.19868661944631383</v>
      </c>
      <c r="Z107" s="7"/>
      <c r="AA107" s="3">
        <f t="shared" si="32"/>
        <v>15.359399463900154</v>
      </c>
      <c r="AB107" s="3">
        <f t="shared" si="33"/>
        <v>2.6272656977723949</v>
      </c>
      <c r="AC107" s="2">
        <f t="shared" si="34"/>
        <v>0.40419472273421458</v>
      </c>
      <c r="AD107" s="2">
        <f t="shared" si="35"/>
        <v>9.6502415041906917E-2</v>
      </c>
    </row>
    <row r="108" spans="1:30" x14ac:dyDescent="0.35">
      <c r="A108" t="s">
        <v>552</v>
      </c>
      <c r="B108" t="s">
        <v>181</v>
      </c>
      <c r="C108" s="4" t="s">
        <v>88</v>
      </c>
      <c r="D108" s="4" t="s">
        <v>69</v>
      </c>
      <c r="E108">
        <v>27</v>
      </c>
      <c r="F108">
        <v>1831</v>
      </c>
      <c r="G108" s="7">
        <f t="shared" si="27"/>
        <v>67.81481481481481</v>
      </c>
      <c r="H108">
        <v>0</v>
      </c>
      <c r="I108">
        <v>0</v>
      </c>
      <c r="J108">
        <v>0</v>
      </c>
      <c r="K108">
        <v>27</v>
      </c>
      <c r="L108" s="7">
        <v>67.81481481481481</v>
      </c>
      <c r="M108" s="3">
        <v>0.56999999999999995</v>
      </c>
      <c r="N108" s="3">
        <v>0.56999999999999995</v>
      </c>
      <c r="O108" s="3">
        <v>2.25</v>
      </c>
      <c r="P108" s="2">
        <v>0.03</v>
      </c>
      <c r="Q108" s="2">
        <v>0.11</v>
      </c>
      <c r="R108" s="2">
        <v>0.36449470299794445</v>
      </c>
      <c r="S108" s="2">
        <v>0.16748249999999998</v>
      </c>
      <c r="T108" s="2">
        <f t="shared" si="28"/>
        <v>0</v>
      </c>
      <c r="U108">
        <v>5.5</v>
      </c>
      <c r="V108">
        <v>66</v>
      </c>
      <c r="W108" s="7">
        <f t="shared" si="29"/>
        <v>99.219067090444668</v>
      </c>
      <c r="X108" s="7">
        <f t="shared" si="30"/>
        <v>33.219067090444668</v>
      </c>
      <c r="Y108" s="2">
        <f t="shared" si="31"/>
        <v>0.33480527548362571</v>
      </c>
      <c r="Z108" s="7"/>
      <c r="AA108" s="3">
        <f t="shared" si="32"/>
        <v>18.039830380080847</v>
      </c>
      <c r="AB108" s="3">
        <f t="shared" si="33"/>
        <v>2.6110280813274911</v>
      </c>
      <c r="AC108" s="2">
        <f t="shared" si="34"/>
        <v>0.47473237842318022</v>
      </c>
      <c r="AD108" s="2">
        <f t="shared" si="35"/>
        <v>0.11109601478681656</v>
      </c>
    </row>
    <row r="109" spans="1:30" x14ac:dyDescent="0.35">
      <c r="A109" t="s">
        <v>623</v>
      </c>
      <c r="B109" t="s">
        <v>184</v>
      </c>
      <c r="C109" s="4" t="s">
        <v>88</v>
      </c>
      <c r="D109" s="4" t="s">
        <v>69</v>
      </c>
      <c r="E109">
        <v>26</v>
      </c>
      <c r="F109">
        <v>1798</v>
      </c>
      <c r="G109" s="7">
        <f t="shared" si="27"/>
        <v>69.15384615384616</v>
      </c>
      <c r="H109">
        <v>0</v>
      </c>
      <c r="I109">
        <v>3</v>
      </c>
      <c r="J109">
        <v>0</v>
      </c>
      <c r="K109">
        <v>26</v>
      </c>
      <c r="L109" s="7">
        <v>69.15384615384616</v>
      </c>
      <c r="M109" s="3">
        <v>0.8</v>
      </c>
      <c r="N109" s="3">
        <v>0.8</v>
      </c>
      <c r="O109" s="3">
        <v>2.59</v>
      </c>
      <c r="P109" s="2">
        <v>0.04</v>
      </c>
      <c r="Q109" s="2">
        <v>0.13</v>
      </c>
      <c r="R109" s="2">
        <v>0.36449470299794445</v>
      </c>
      <c r="S109" s="2">
        <v>0.16748249999999998</v>
      </c>
      <c r="T109" s="2">
        <f t="shared" si="28"/>
        <v>0</v>
      </c>
      <c r="U109">
        <v>5.5</v>
      </c>
      <c r="V109">
        <v>86</v>
      </c>
      <c r="W109" s="7">
        <f t="shared" si="29"/>
        <v>98.138904111786218</v>
      </c>
      <c r="X109" s="7">
        <f t="shared" si="30"/>
        <v>12.138904111786218</v>
      </c>
      <c r="Y109" s="2">
        <f t="shared" si="31"/>
        <v>0.12369105016660124</v>
      </c>
      <c r="Z109" s="7"/>
      <c r="AA109" s="3">
        <f t="shared" si="32"/>
        <v>17.843437111233857</v>
      </c>
      <c r="AB109" s="3">
        <f t="shared" si="33"/>
        <v>2.582602739783848</v>
      </c>
      <c r="AC109" s="2">
        <f t="shared" si="34"/>
        <v>0.4695641345061542</v>
      </c>
      <c r="AD109" s="2">
        <f t="shared" si="35"/>
        <v>0.10592777086979055</v>
      </c>
    </row>
    <row r="110" spans="1:30" x14ac:dyDescent="0.35">
      <c r="A110" t="s">
        <v>643</v>
      </c>
      <c r="B110" t="s">
        <v>388</v>
      </c>
      <c r="C110" s="4" t="s">
        <v>91</v>
      </c>
      <c r="D110" s="4" t="s">
        <v>70</v>
      </c>
      <c r="E110">
        <v>35</v>
      </c>
      <c r="F110">
        <v>3014</v>
      </c>
      <c r="G110" s="7">
        <f t="shared" si="27"/>
        <v>86.114285714285714</v>
      </c>
      <c r="H110">
        <v>4</v>
      </c>
      <c r="I110">
        <v>3</v>
      </c>
      <c r="J110">
        <v>0</v>
      </c>
      <c r="K110">
        <v>35</v>
      </c>
      <c r="L110" s="7">
        <v>86.114285714285714</v>
      </c>
      <c r="M110" s="3">
        <v>3.39</v>
      </c>
      <c r="N110" s="3">
        <v>1.87</v>
      </c>
      <c r="O110" s="3">
        <v>1.88</v>
      </c>
      <c r="P110" s="2">
        <v>0.1</v>
      </c>
      <c r="Q110" s="2">
        <v>0.06</v>
      </c>
      <c r="R110" s="2">
        <v>0.31178969617272972</v>
      </c>
      <c r="S110" s="2">
        <v>0.20669999999999999</v>
      </c>
      <c r="T110" s="2">
        <f t="shared" si="28"/>
        <v>0</v>
      </c>
      <c r="U110">
        <v>5.5</v>
      </c>
      <c r="V110">
        <v>104</v>
      </c>
      <c r="W110" s="7">
        <f t="shared" si="29"/>
        <v>96.450583810489974</v>
      </c>
      <c r="X110" s="7">
        <f t="shared" si="30"/>
        <v>-7.5494161895100262</v>
      </c>
      <c r="Y110" s="2">
        <f t="shared" si="31"/>
        <v>7.8272374217489712E-2</v>
      </c>
      <c r="Z110" s="7"/>
      <c r="AA110" s="3">
        <f t="shared" si="32"/>
        <v>17.536469783725451</v>
      </c>
      <c r="AB110" s="3">
        <f t="shared" si="33"/>
        <v>2.5381732581707888</v>
      </c>
      <c r="AC110" s="2">
        <f t="shared" si="34"/>
        <v>0.46148604694014339</v>
      </c>
      <c r="AD110" s="2">
        <f t="shared" si="35"/>
        <v>9.7849683303779772E-2</v>
      </c>
    </row>
    <row r="111" spans="1:30" x14ac:dyDescent="0.35">
      <c r="A111" t="s">
        <v>541</v>
      </c>
      <c r="B111" t="s">
        <v>400</v>
      </c>
      <c r="C111" s="4" t="s">
        <v>76</v>
      </c>
      <c r="D111" s="4" t="s">
        <v>70</v>
      </c>
      <c r="E111">
        <v>35</v>
      </c>
      <c r="F111">
        <v>2480</v>
      </c>
      <c r="G111" s="7">
        <f t="shared" si="27"/>
        <v>70.857142857142861</v>
      </c>
      <c r="H111">
        <v>1</v>
      </c>
      <c r="I111">
        <v>5</v>
      </c>
      <c r="J111">
        <v>0</v>
      </c>
      <c r="K111">
        <v>35</v>
      </c>
      <c r="L111" s="7">
        <v>70.857142857142861</v>
      </c>
      <c r="M111" s="3">
        <v>2.2000000000000002</v>
      </c>
      <c r="N111" s="3">
        <v>2.2000000000000002</v>
      </c>
      <c r="O111" s="3">
        <v>5.21</v>
      </c>
      <c r="P111" s="2">
        <v>0.08</v>
      </c>
      <c r="Q111" s="2">
        <v>0.19</v>
      </c>
      <c r="R111" s="2">
        <v>0.17795719394737325</v>
      </c>
      <c r="S111" s="2">
        <v>0.18973999999999999</v>
      </c>
      <c r="T111" s="2">
        <f t="shared" si="28"/>
        <v>0</v>
      </c>
      <c r="U111">
        <v>5</v>
      </c>
      <c r="V111">
        <v>94</v>
      </c>
      <c r="W111" s="7">
        <f t="shared" si="29"/>
        <v>96.316490677046957</v>
      </c>
      <c r="X111" s="7">
        <f t="shared" si="30"/>
        <v>2.3164906770469571</v>
      </c>
      <c r="Y111" s="2">
        <f t="shared" si="31"/>
        <v>2.4050821004413907E-2</v>
      </c>
      <c r="Z111" s="7"/>
      <c r="AA111" s="3">
        <f t="shared" si="32"/>
        <v>19.263298135409393</v>
      </c>
      <c r="AB111" s="3">
        <f t="shared" si="33"/>
        <v>2.5346444915012358</v>
      </c>
      <c r="AC111" s="2">
        <f t="shared" si="34"/>
        <v>0.50692889830024712</v>
      </c>
      <c r="AD111" s="2">
        <f t="shared" si="35"/>
        <v>0.10692889830024717</v>
      </c>
    </row>
    <row r="112" spans="1:30" x14ac:dyDescent="0.35">
      <c r="A112" t="s">
        <v>639</v>
      </c>
      <c r="B112" t="s">
        <v>387</v>
      </c>
      <c r="C112" s="4" t="s">
        <v>90</v>
      </c>
      <c r="D112" s="4" t="s">
        <v>70</v>
      </c>
      <c r="E112">
        <v>33</v>
      </c>
      <c r="F112">
        <v>2230</v>
      </c>
      <c r="G112" s="7">
        <f t="shared" si="27"/>
        <v>67.575757575757578</v>
      </c>
      <c r="H112">
        <v>2</v>
      </c>
      <c r="I112">
        <v>5</v>
      </c>
      <c r="J112">
        <v>0</v>
      </c>
      <c r="K112">
        <v>33</v>
      </c>
      <c r="L112" s="7">
        <v>67.575757575757578</v>
      </c>
      <c r="M112" s="3">
        <v>2.2599999999999998</v>
      </c>
      <c r="N112" s="3">
        <v>2.2599999999999998</v>
      </c>
      <c r="O112" s="3">
        <v>5.18</v>
      </c>
      <c r="P112" s="2">
        <v>0.09</v>
      </c>
      <c r="Q112" s="2">
        <v>0.21</v>
      </c>
      <c r="R112" s="2">
        <v>0.24817745983836939</v>
      </c>
      <c r="S112" s="2">
        <v>0.17066000000000001</v>
      </c>
      <c r="T112" s="2">
        <f t="shared" si="28"/>
        <v>0</v>
      </c>
      <c r="U112">
        <v>5.5</v>
      </c>
      <c r="V112">
        <v>85</v>
      </c>
      <c r="W112" s="7">
        <f t="shared" si="29"/>
        <v>95.318076174666189</v>
      </c>
      <c r="X112" s="7">
        <f t="shared" si="30"/>
        <v>10.318076174666189</v>
      </c>
      <c r="Y112" s="2">
        <f t="shared" si="31"/>
        <v>0.10824889243210037</v>
      </c>
      <c r="Z112" s="7"/>
      <c r="AA112" s="3">
        <f t="shared" si="32"/>
        <v>17.330559304484762</v>
      </c>
      <c r="AB112" s="3">
        <f t="shared" si="33"/>
        <v>2.5083704256491104</v>
      </c>
      <c r="AC112" s="2">
        <f t="shared" si="34"/>
        <v>0.45606735011802008</v>
      </c>
      <c r="AD112" s="2">
        <f t="shared" si="35"/>
        <v>9.243098648165643E-2</v>
      </c>
    </row>
    <row r="113" spans="1:30" x14ac:dyDescent="0.35">
      <c r="B113" t="s">
        <v>30</v>
      </c>
      <c r="C113" s="4" t="s">
        <v>80</v>
      </c>
      <c r="D113" s="4" t="s">
        <v>70</v>
      </c>
      <c r="E113">
        <v>34</v>
      </c>
      <c r="F113">
        <v>2146</v>
      </c>
      <c r="G113" s="7">
        <f t="shared" si="27"/>
        <v>63.117647058823529</v>
      </c>
      <c r="H113">
        <v>1</v>
      </c>
      <c r="I113">
        <v>3</v>
      </c>
      <c r="J113">
        <v>0</v>
      </c>
      <c r="K113">
        <v>34</v>
      </c>
      <c r="L113" s="7">
        <v>63.117647058823529</v>
      </c>
      <c r="M113" s="3">
        <v>2.69</v>
      </c>
      <c r="N113" s="3">
        <v>2.69</v>
      </c>
      <c r="O113" s="3">
        <v>3.24</v>
      </c>
      <c r="P113" s="2">
        <v>0.11</v>
      </c>
      <c r="Q113" s="2">
        <v>0.14000000000000001</v>
      </c>
      <c r="R113" s="2">
        <v>0.28798486680605417</v>
      </c>
      <c r="S113" s="2">
        <v>0.17595999999999998</v>
      </c>
      <c r="T113" s="2">
        <f t="shared" si="28"/>
        <v>0</v>
      </c>
      <c r="U113">
        <v>6.5</v>
      </c>
      <c r="V113">
        <v>88</v>
      </c>
      <c r="W113" s="7">
        <f t="shared" si="29"/>
        <v>94.937956582516961</v>
      </c>
      <c r="X113" s="7">
        <f t="shared" si="30"/>
        <v>6.9379565825169607</v>
      </c>
      <c r="Y113" s="2">
        <f t="shared" si="31"/>
        <v>7.3078848884710473E-2</v>
      </c>
      <c r="Z113" s="7"/>
      <c r="AA113" s="3">
        <f t="shared" si="32"/>
        <v>14.605839474233379</v>
      </c>
      <c r="AB113" s="3">
        <f t="shared" si="33"/>
        <v>2.4983672784872883</v>
      </c>
      <c r="AC113" s="2">
        <f t="shared" si="34"/>
        <v>0.38436419669035204</v>
      </c>
      <c r="AD113" s="2">
        <f t="shared" si="35"/>
        <v>7.6671888998044363E-2</v>
      </c>
    </row>
    <row r="114" spans="1:30" x14ac:dyDescent="0.35">
      <c r="A114" t="s">
        <v>566</v>
      </c>
      <c r="B114" t="s">
        <v>196</v>
      </c>
      <c r="C114" s="4" t="s">
        <v>79</v>
      </c>
      <c r="D114" s="4" t="s">
        <v>69</v>
      </c>
      <c r="E114">
        <v>27</v>
      </c>
      <c r="F114">
        <v>2418</v>
      </c>
      <c r="G114" s="7">
        <f t="shared" si="27"/>
        <v>89.555555555555557</v>
      </c>
      <c r="H114">
        <v>0</v>
      </c>
      <c r="I114">
        <v>0</v>
      </c>
      <c r="J114">
        <v>13</v>
      </c>
      <c r="K114">
        <v>27</v>
      </c>
      <c r="L114" s="7">
        <v>89.555555555555557</v>
      </c>
      <c r="M114" s="3">
        <v>0.83</v>
      </c>
      <c r="N114" s="3">
        <v>0.83</v>
      </c>
      <c r="O114" s="3">
        <v>0.19</v>
      </c>
      <c r="P114" s="2">
        <v>0.03</v>
      </c>
      <c r="Q114" s="2">
        <v>0.01</v>
      </c>
      <c r="R114" s="2">
        <v>0.23249334149310152</v>
      </c>
      <c r="S114" s="2">
        <v>0.16748249999999998</v>
      </c>
      <c r="T114" s="2">
        <f t="shared" si="28"/>
        <v>0.48148148148148145</v>
      </c>
      <c r="U114">
        <v>5</v>
      </c>
      <c r="V114">
        <v>88</v>
      </c>
      <c r="W114" s="7">
        <f t="shared" si="29"/>
        <v>93.229253381254949</v>
      </c>
      <c r="X114" s="7">
        <f t="shared" si="30"/>
        <v>5.2292533812549493</v>
      </c>
      <c r="Y114" s="2">
        <f t="shared" si="31"/>
        <v>5.6090263426976712E-2</v>
      </c>
      <c r="Z114" s="7"/>
      <c r="AA114" s="3">
        <f t="shared" si="32"/>
        <v>18.645850676250991</v>
      </c>
      <c r="AB114" s="3">
        <f t="shared" si="33"/>
        <v>2.4534014047698669</v>
      </c>
      <c r="AC114" s="2">
        <f t="shared" si="34"/>
        <v>0.49068028095397337</v>
      </c>
      <c r="AD114" s="2">
        <f t="shared" si="35"/>
        <v>9.0680280953973375E-2</v>
      </c>
    </row>
    <row r="115" spans="1:30" x14ac:dyDescent="0.35">
      <c r="A115" t="s">
        <v>348</v>
      </c>
      <c r="B115" t="s">
        <v>351</v>
      </c>
      <c r="C115" s="4" t="s">
        <v>87</v>
      </c>
      <c r="D115" s="4" t="s">
        <v>70</v>
      </c>
      <c r="E115">
        <v>26</v>
      </c>
      <c r="F115">
        <v>1940</v>
      </c>
      <c r="G115" s="7">
        <f t="shared" si="27"/>
        <v>74.615384615384613</v>
      </c>
      <c r="H115">
        <v>7</v>
      </c>
      <c r="I115">
        <v>0</v>
      </c>
      <c r="J115">
        <v>15</v>
      </c>
      <c r="K115">
        <v>26</v>
      </c>
      <c r="L115" s="7">
        <v>74.615384615384613</v>
      </c>
      <c r="M115" s="3">
        <v>3.4</v>
      </c>
      <c r="N115" s="3">
        <v>2.64</v>
      </c>
      <c r="O115" s="3">
        <v>3.28</v>
      </c>
      <c r="P115" s="2">
        <v>0.16</v>
      </c>
      <c r="Q115" s="2">
        <v>0.15</v>
      </c>
      <c r="R115" s="2">
        <v>0.18161947538840026</v>
      </c>
      <c r="S115" s="2">
        <v>0.21517999999999998</v>
      </c>
      <c r="T115" s="2">
        <f t="shared" si="28"/>
        <v>0.57692307692307687</v>
      </c>
      <c r="U115">
        <v>6</v>
      </c>
      <c r="V115">
        <v>94</v>
      </c>
      <c r="W115" s="7">
        <f t="shared" si="29"/>
        <v>93.07187080454284</v>
      </c>
      <c r="X115" s="7">
        <f t="shared" si="30"/>
        <v>-0.92812919545715999</v>
      </c>
      <c r="Y115" s="2">
        <f t="shared" si="31"/>
        <v>9.9721772801397053E-3</v>
      </c>
      <c r="Z115" s="7"/>
      <c r="AA115" s="3">
        <f t="shared" si="32"/>
        <v>15.511978467423807</v>
      </c>
      <c r="AB115" s="3">
        <f t="shared" si="33"/>
        <v>2.4492597580142852</v>
      </c>
      <c r="AC115" s="2">
        <f t="shared" si="34"/>
        <v>0.40820995966904755</v>
      </c>
      <c r="AD115" s="2">
        <f t="shared" si="35"/>
        <v>7.4876626335714194E-2</v>
      </c>
    </row>
    <row r="116" spans="1:30" x14ac:dyDescent="0.35">
      <c r="B116" t="s">
        <v>19</v>
      </c>
      <c r="C116" s="4" t="s">
        <v>78</v>
      </c>
      <c r="D116" s="4" t="s">
        <v>70</v>
      </c>
      <c r="E116">
        <v>31</v>
      </c>
      <c r="F116">
        <v>1777</v>
      </c>
      <c r="G116" s="7">
        <f t="shared" si="27"/>
        <v>57.322580645161288</v>
      </c>
      <c r="H116">
        <v>8</v>
      </c>
      <c r="I116">
        <v>2</v>
      </c>
      <c r="J116">
        <v>12</v>
      </c>
      <c r="K116">
        <v>31</v>
      </c>
      <c r="L116" s="7">
        <v>57.322580645161288</v>
      </c>
      <c r="M116" s="3">
        <v>5.98</v>
      </c>
      <c r="N116" s="3">
        <v>5.98</v>
      </c>
      <c r="O116" s="3">
        <v>3.88</v>
      </c>
      <c r="P116" s="2">
        <v>0.3</v>
      </c>
      <c r="Q116" s="2">
        <v>0.2</v>
      </c>
      <c r="R116" s="2">
        <v>0.40095828778034376</v>
      </c>
      <c r="S116" s="2">
        <v>0.17595999999999998</v>
      </c>
      <c r="T116" s="2">
        <f t="shared" si="28"/>
        <v>0.38709677419354838</v>
      </c>
      <c r="U116">
        <v>7</v>
      </c>
      <c r="V116">
        <v>112</v>
      </c>
      <c r="W116" s="7">
        <f t="shared" si="29"/>
        <v>91.438280254524003</v>
      </c>
      <c r="X116" s="7">
        <f t="shared" si="30"/>
        <v>-20.561719745475997</v>
      </c>
      <c r="Y116" s="2">
        <f t="shared" si="31"/>
        <v>0.22486993071437042</v>
      </c>
      <c r="Z116" s="7"/>
      <c r="AA116" s="3">
        <f t="shared" si="32"/>
        <v>13.062611464932001</v>
      </c>
      <c r="AB116" s="3">
        <f t="shared" si="33"/>
        <v>2.4062705330137897</v>
      </c>
      <c r="AC116" s="2">
        <f t="shared" si="34"/>
        <v>0.34375293328768425</v>
      </c>
      <c r="AD116" s="2">
        <f t="shared" si="35"/>
        <v>5.8038647573398529E-2</v>
      </c>
    </row>
    <row r="117" spans="1:30" x14ac:dyDescent="0.35">
      <c r="A117" t="s">
        <v>610</v>
      </c>
      <c r="B117" t="s">
        <v>251</v>
      </c>
      <c r="C117" s="4" t="s">
        <v>86</v>
      </c>
      <c r="D117" s="4" t="s">
        <v>69</v>
      </c>
      <c r="E117">
        <v>32</v>
      </c>
      <c r="F117">
        <v>2751</v>
      </c>
      <c r="G117" s="7">
        <f t="shared" si="27"/>
        <v>85.96875</v>
      </c>
      <c r="H117">
        <v>0</v>
      </c>
      <c r="I117">
        <v>1</v>
      </c>
      <c r="J117">
        <v>0</v>
      </c>
      <c r="K117">
        <v>32</v>
      </c>
      <c r="L117" s="7">
        <v>85.96875</v>
      </c>
      <c r="M117" s="3">
        <v>0.4</v>
      </c>
      <c r="N117" s="3">
        <v>0.4</v>
      </c>
      <c r="O117" s="3">
        <v>1.2</v>
      </c>
      <c r="P117" s="2">
        <v>0.01</v>
      </c>
      <c r="Q117" s="2">
        <v>0.04</v>
      </c>
      <c r="R117" s="2">
        <v>0.20741467510346001</v>
      </c>
      <c r="S117" s="2">
        <v>0.16542750000000001</v>
      </c>
      <c r="T117" s="2">
        <f t="shared" si="28"/>
        <v>0</v>
      </c>
      <c r="U117">
        <v>4.5</v>
      </c>
      <c r="V117">
        <v>95</v>
      </c>
      <c r="W117" s="7">
        <f t="shared" si="29"/>
        <v>90.757398413242882</v>
      </c>
      <c r="X117" s="7">
        <f t="shared" si="30"/>
        <v>-4.2426015867571181</v>
      </c>
      <c r="Y117" s="2">
        <f t="shared" si="31"/>
        <v>4.6746619679856952E-2</v>
      </c>
      <c r="Z117" s="7"/>
      <c r="AA117" s="3">
        <f t="shared" si="32"/>
        <v>20.168310758498418</v>
      </c>
      <c r="AB117" s="3">
        <f t="shared" si="33"/>
        <v>2.3883525898221811</v>
      </c>
      <c r="AC117" s="2">
        <f t="shared" si="34"/>
        <v>0.53074501996048473</v>
      </c>
      <c r="AD117" s="2">
        <f t="shared" si="35"/>
        <v>8.6300575516040257E-2</v>
      </c>
    </row>
    <row r="118" spans="1:30" x14ac:dyDescent="0.35">
      <c r="A118" t="s">
        <v>609</v>
      </c>
      <c r="B118" t="s">
        <v>246</v>
      </c>
      <c r="C118" s="4" t="s">
        <v>86</v>
      </c>
      <c r="D118" s="4" t="s">
        <v>69</v>
      </c>
      <c r="E118">
        <v>29</v>
      </c>
      <c r="F118">
        <v>2476</v>
      </c>
      <c r="G118" s="7">
        <f t="shared" si="27"/>
        <v>85.379310344827587</v>
      </c>
      <c r="H118">
        <v>1</v>
      </c>
      <c r="I118">
        <v>2</v>
      </c>
      <c r="J118">
        <v>0</v>
      </c>
      <c r="K118">
        <v>29</v>
      </c>
      <c r="L118" s="7">
        <v>85.379310344827587</v>
      </c>
      <c r="M118" s="3">
        <v>1.19</v>
      </c>
      <c r="N118" s="3">
        <v>1.19</v>
      </c>
      <c r="O118" s="3">
        <v>2.15</v>
      </c>
      <c r="P118" s="2">
        <v>0.04</v>
      </c>
      <c r="Q118" s="2">
        <v>0.08</v>
      </c>
      <c r="R118" s="2">
        <v>0.20741467510346001</v>
      </c>
      <c r="S118" s="2">
        <v>0.16542750000000001</v>
      </c>
      <c r="T118" s="2">
        <f t="shared" si="28"/>
        <v>0</v>
      </c>
      <c r="U118">
        <v>4.5</v>
      </c>
      <c r="V118">
        <v>63</v>
      </c>
      <c r="W118" s="7">
        <f t="shared" si="29"/>
        <v>90.468038145334702</v>
      </c>
      <c r="X118" s="7">
        <f t="shared" si="30"/>
        <v>27.468038145334702</v>
      </c>
      <c r="Y118" s="2">
        <f t="shared" si="31"/>
        <v>0.30362146354061492</v>
      </c>
      <c r="Z118" s="7"/>
      <c r="AA118" s="3">
        <f t="shared" si="32"/>
        <v>20.104008476741043</v>
      </c>
      <c r="AB118" s="3">
        <f t="shared" si="33"/>
        <v>2.3807378459298607</v>
      </c>
      <c r="AC118" s="2">
        <f t="shared" si="34"/>
        <v>0.52905285465108021</v>
      </c>
      <c r="AD118" s="2">
        <f t="shared" si="35"/>
        <v>8.4608410206635717E-2</v>
      </c>
    </row>
    <row r="119" spans="1:30" x14ac:dyDescent="0.35">
      <c r="A119" t="s">
        <v>625</v>
      </c>
      <c r="B119" t="s">
        <v>386</v>
      </c>
      <c r="C119" s="4" t="s">
        <v>89</v>
      </c>
      <c r="D119" s="4" t="s">
        <v>70</v>
      </c>
      <c r="E119">
        <v>32</v>
      </c>
      <c r="F119">
        <v>2454</v>
      </c>
      <c r="G119" s="7">
        <f t="shared" si="27"/>
        <v>76.6875</v>
      </c>
      <c r="H119">
        <v>2</v>
      </c>
      <c r="I119">
        <v>4</v>
      </c>
      <c r="J119">
        <v>0</v>
      </c>
      <c r="K119">
        <v>32</v>
      </c>
      <c r="L119" s="7">
        <v>76.6875</v>
      </c>
      <c r="M119" s="3">
        <v>2.97</v>
      </c>
      <c r="N119" s="3">
        <v>2.97</v>
      </c>
      <c r="O119" s="3">
        <v>3.66</v>
      </c>
      <c r="P119" s="2">
        <v>0.11</v>
      </c>
      <c r="Q119" s="2">
        <v>0.13</v>
      </c>
      <c r="R119" s="2">
        <v>0.24618708948998508</v>
      </c>
      <c r="S119" s="2">
        <v>0.23744000000000001</v>
      </c>
      <c r="T119" s="2">
        <f t="shared" si="28"/>
        <v>0</v>
      </c>
      <c r="U119">
        <v>5.5</v>
      </c>
      <c r="V119">
        <v>87</v>
      </c>
      <c r="W119" s="7">
        <f t="shared" si="29"/>
        <v>89.910573530346198</v>
      </c>
      <c r="X119" s="7">
        <f t="shared" si="30"/>
        <v>2.9105735303461984</v>
      </c>
      <c r="Y119" s="2">
        <f t="shared" si="31"/>
        <v>3.2371871472534154E-2</v>
      </c>
      <c r="Z119" s="7"/>
      <c r="AA119" s="3">
        <f t="shared" si="32"/>
        <v>16.34737700551749</v>
      </c>
      <c r="AB119" s="3">
        <f t="shared" si="33"/>
        <v>2.3660677244827948</v>
      </c>
      <c r="AC119" s="2">
        <f t="shared" si="34"/>
        <v>0.4301941317241445</v>
      </c>
      <c r="AD119" s="2">
        <f t="shared" si="35"/>
        <v>6.6557768087780869E-2</v>
      </c>
    </row>
    <row r="120" spans="1:30" x14ac:dyDescent="0.35">
      <c r="A120" t="s">
        <v>553</v>
      </c>
      <c r="B120" t="s">
        <v>405</v>
      </c>
      <c r="C120" s="4" t="s">
        <v>77</v>
      </c>
      <c r="D120" s="4" t="s">
        <v>70</v>
      </c>
      <c r="E120">
        <v>37</v>
      </c>
      <c r="F120">
        <v>3315</v>
      </c>
      <c r="G120" s="7">
        <f t="shared" si="27"/>
        <v>89.594594594594597</v>
      </c>
      <c r="H120">
        <v>1</v>
      </c>
      <c r="I120">
        <v>2</v>
      </c>
      <c r="J120">
        <v>0</v>
      </c>
      <c r="K120">
        <v>38</v>
      </c>
      <c r="L120" s="7">
        <v>89.594594594594597</v>
      </c>
      <c r="M120" s="3">
        <v>1.52</v>
      </c>
      <c r="N120" s="3">
        <v>1.52</v>
      </c>
      <c r="O120" s="3">
        <v>2.2599999999999998</v>
      </c>
      <c r="P120" s="2">
        <v>0.04</v>
      </c>
      <c r="Q120" s="2">
        <v>0.06</v>
      </c>
      <c r="R120" s="2">
        <v>0.20048818629108286</v>
      </c>
      <c r="S120" s="2">
        <v>0.21517999999999998</v>
      </c>
      <c r="T120" s="2">
        <f t="shared" si="28"/>
        <v>0</v>
      </c>
      <c r="U120">
        <v>5</v>
      </c>
      <c r="V120">
        <v>87</v>
      </c>
      <c r="W120" s="7">
        <f t="shared" si="29"/>
        <v>89.816666034016109</v>
      </c>
      <c r="X120" s="7">
        <f t="shared" si="30"/>
        <v>2.8166660340161087</v>
      </c>
      <c r="Y120" s="2">
        <f t="shared" si="31"/>
        <v>3.1360171317752518E-2</v>
      </c>
      <c r="Z120" s="7"/>
      <c r="AA120" s="3">
        <f t="shared" si="32"/>
        <v>17.96333320680322</v>
      </c>
      <c r="AB120" s="3">
        <f t="shared" si="33"/>
        <v>2.3635964745793712</v>
      </c>
      <c r="AC120" s="2">
        <f t="shared" si="34"/>
        <v>0.47271929491587422</v>
      </c>
      <c r="AD120" s="2">
        <f t="shared" si="35"/>
        <v>7.2719294915874227E-2</v>
      </c>
    </row>
    <row r="121" spans="1:30" x14ac:dyDescent="0.35">
      <c r="A121" t="s">
        <v>638</v>
      </c>
      <c r="B121" t="s">
        <v>428</v>
      </c>
      <c r="C121" s="4" t="s">
        <v>90</v>
      </c>
      <c r="D121" s="4" t="s">
        <v>70</v>
      </c>
      <c r="E121">
        <v>34</v>
      </c>
      <c r="F121">
        <v>3009</v>
      </c>
      <c r="G121" s="7">
        <f t="shared" si="27"/>
        <v>88.5</v>
      </c>
      <c r="H121">
        <v>2</v>
      </c>
      <c r="I121">
        <v>0</v>
      </c>
      <c r="J121">
        <v>0</v>
      </c>
      <c r="K121">
        <v>38</v>
      </c>
      <c r="L121" s="7">
        <v>88.5</v>
      </c>
      <c r="M121" s="3">
        <v>1.23</v>
      </c>
      <c r="N121" s="3">
        <v>1.23</v>
      </c>
      <c r="O121" s="3">
        <v>0.64</v>
      </c>
      <c r="P121" s="2">
        <v>0.04</v>
      </c>
      <c r="Q121" s="2">
        <v>0.02</v>
      </c>
      <c r="R121" s="2">
        <v>0.24817745983836939</v>
      </c>
      <c r="S121" s="2">
        <v>0.17066000000000001</v>
      </c>
      <c r="T121" s="2">
        <f t="shared" si="28"/>
        <v>0</v>
      </c>
      <c r="U121">
        <v>5</v>
      </c>
      <c r="V121">
        <v>92</v>
      </c>
      <c r="W121" s="7">
        <f t="shared" si="29"/>
        <v>88.660996807191367</v>
      </c>
      <c r="X121" s="7">
        <f t="shared" si="30"/>
        <v>-3.339003192808633</v>
      </c>
      <c r="Y121" s="2">
        <f t="shared" si="31"/>
        <v>3.7660338965846182E-2</v>
      </c>
      <c r="Z121" s="7"/>
      <c r="AA121" s="3">
        <f t="shared" si="32"/>
        <v>17.732199361438273</v>
      </c>
      <c r="AB121" s="3">
        <f t="shared" si="33"/>
        <v>2.3331841265050359</v>
      </c>
      <c r="AC121" s="2">
        <f t="shared" si="34"/>
        <v>0.4666368253010072</v>
      </c>
      <c r="AD121" s="2">
        <f t="shared" si="35"/>
        <v>6.6636825301007188E-2</v>
      </c>
    </row>
    <row r="122" spans="1:30" x14ac:dyDescent="0.35">
      <c r="A122" t="s">
        <v>571</v>
      </c>
      <c r="B122" t="s">
        <v>374</v>
      </c>
      <c r="C122" s="4" t="s">
        <v>83</v>
      </c>
      <c r="D122" s="4" t="s">
        <v>70</v>
      </c>
      <c r="E122">
        <v>32</v>
      </c>
      <c r="F122">
        <v>1979</v>
      </c>
      <c r="G122" s="7">
        <f t="shared" si="27"/>
        <v>61.84375</v>
      </c>
      <c r="H122">
        <v>1</v>
      </c>
      <c r="I122">
        <v>3</v>
      </c>
      <c r="J122">
        <v>0</v>
      </c>
      <c r="K122">
        <v>32</v>
      </c>
      <c r="L122" s="7">
        <v>61.84375</v>
      </c>
      <c r="M122" s="3">
        <v>1.51</v>
      </c>
      <c r="N122" s="3">
        <v>1.51</v>
      </c>
      <c r="O122" s="3">
        <v>1.69</v>
      </c>
      <c r="P122" s="2">
        <v>7.0000000000000007E-2</v>
      </c>
      <c r="Q122" s="2">
        <v>0.08</v>
      </c>
      <c r="R122" s="2">
        <v>0.47229316106643499</v>
      </c>
      <c r="S122" s="2">
        <v>0.11448</v>
      </c>
      <c r="T122" s="2">
        <f t="shared" si="28"/>
        <v>0</v>
      </c>
      <c r="U122">
        <v>5.5</v>
      </c>
      <c r="V122">
        <v>76</v>
      </c>
      <c r="W122" s="7">
        <f t="shared" si="29"/>
        <v>88.42346559857036</v>
      </c>
      <c r="X122" s="7">
        <f t="shared" si="30"/>
        <v>12.42346559857036</v>
      </c>
      <c r="Y122" s="2">
        <f t="shared" si="31"/>
        <v>0.14049964581767335</v>
      </c>
      <c r="Z122" s="7"/>
      <c r="AA122" s="3">
        <f t="shared" si="32"/>
        <v>16.07699374519461</v>
      </c>
      <c r="AB122" s="3">
        <f t="shared" si="33"/>
        <v>2.3269333052255359</v>
      </c>
      <c r="AC122" s="2">
        <f t="shared" si="34"/>
        <v>0.42307878276827926</v>
      </c>
      <c r="AD122" s="2">
        <f t="shared" si="35"/>
        <v>5.9442419131915614E-2</v>
      </c>
    </row>
    <row r="123" spans="1:30" x14ac:dyDescent="0.35">
      <c r="A123" t="s">
        <v>637</v>
      </c>
      <c r="B123" t="s">
        <v>429</v>
      </c>
      <c r="C123" s="4" t="s">
        <v>90</v>
      </c>
      <c r="D123" s="4" t="s">
        <v>70</v>
      </c>
      <c r="E123">
        <v>31</v>
      </c>
      <c r="F123">
        <v>2339</v>
      </c>
      <c r="G123" s="7">
        <f t="shared" si="27"/>
        <v>75.451612903225808</v>
      </c>
      <c r="H123">
        <v>5</v>
      </c>
      <c r="I123">
        <v>5</v>
      </c>
      <c r="J123">
        <v>0</v>
      </c>
      <c r="K123">
        <v>31</v>
      </c>
      <c r="L123" s="7">
        <v>75.451612903225808</v>
      </c>
      <c r="M123" s="3">
        <v>3.59</v>
      </c>
      <c r="N123" s="3">
        <v>0.55000000000000004</v>
      </c>
      <c r="O123" s="3">
        <v>1.72</v>
      </c>
      <c r="P123" s="2">
        <v>0.14000000000000001</v>
      </c>
      <c r="Q123" s="2">
        <v>7.0000000000000007E-2</v>
      </c>
      <c r="R123" s="2">
        <v>0.24817745983836939</v>
      </c>
      <c r="S123" s="2">
        <v>0.17066000000000001</v>
      </c>
      <c r="T123" s="2">
        <f t="shared" si="28"/>
        <v>0</v>
      </c>
      <c r="U123">
        <v>5</v>
      </c>
      <c r="V123">
        <v>99</v>
      </c>
      <c r="W123" s="7">
        <f t="shared" si="29"/>
        <v>88.052930143878356</v>
      </c>
      <c r="X123" s="7">
        <f t="shared" si="30"/>
        <v>-10.947069856121644</v>
      </c>
      <c r="Y123" s="2">
        <f t="shared" si="31"/>
        <v>0.12432374298315965</v>
      </c>
      <c r="Z123" s="7"/>
      <c r="AA123" s="3">
        <f t="shared" si="32"/>
        <v>17.610586028775671</v>
      </c>
      <c r="AB123" s="3">
        <f t="shared" si="33"/>
        <v>2.3171823722073253</v>
      </c>
      <c r="AC123" s="2">
        <f t="shared" si="34"/>
        <v>0.46343647444146507</v>
      </c>
      <c r="AD123" s="2">
        <f t="shared" si="35"/>
        <v>6.3436474441465052E-2</v>
      </c>
    </row>
    <row r="124" spans="1:30" x14ac:dyDescent="0.35">
      <c r="A124" t="s">
        <v>348</v>
      </c>
      <c r="B124" t="s">
        <v>376</v>
      </c>
      <c r="C124" s="4" t="s">
        <v>83</v>
      </c>
      <c r="D124" s="4" t="s">
        <v>70</v>
      </c>
      <c r="E124">
        <v>31</v>
      </c>
      <c r="F124">
        <v>1775</v>
      </c>
      <c r="G124" s="7">
        <f t="shared" si="27"/>
        <v>57.258064516129032</v>
      </c>
      <c r="H124">
        <v>5</v>
      </c>
      <c r="I124">
        <v>4</v>
      </c>
      <c r="J124">
        <v>12</v>
      </c>
      <c r="K124">
        <v>31</v>
      </c>
      <c r="L124" s="7">
        <v>57.258064516129032</v>
      </c>
      <c r="M124" s="3">
        <v>3.36</v>
      </c>
      <c r="N124" s="3">
        <v>1.07</v>
      </c>
      <c r="O124" s="3">
        <v>5.64</v>
      </c>
      <c r="P124" s="2">
        <v>0.17</v>
      </c>
      <c r="Q124" s="2">
        <v>0.28999999999999998</v>
      </c>
      <c r="R124" s="2">
        <v>0.47229316106643499</v>
      </c>
      <c r="S124" s="2">
        <v>0.11448</v>
      </c>
      <c r="T124" s="2">
        <f t="shared" si="28"/>
        <v>0.38709677419354838</v>
      </c>
      <c r="U124">
        <v>5.5</v>
      </c>
      <c r="V124">
        <v>101</v>
      </c>
      <c r="W124" s="7">
        <f t="shared" si="29"/>
        <v>88.01443021528172</v>
      </c>
      <c r="X124" s="7">
        <f t="shared" si="30"/>
        <v>-12.98556978471828</v>
      </c>
      <c r="Y124" s="2">
        <f t="shared" si="31"/>
        <v>0.147539099588054</v>
      </c>
      <c r="Z124" s="7"/>
      <c r="AA124" s="3">
        <f t="shared" si="32"/>
        <v>16.002623675505767</v>
      </c>
      <c r="AB124" s="3">
        <f t="shared" si="33"/>
        <v>2.3161692161916241</v>
      </c>
      <c r="AC124" s="2">
        <f t="shared" si="34"/>
        <v>0.4211216756712044</v>
      </c>
      <c r="AD124" s="2">
        <f t="shared" si="35"/>
        <v>5.7485312034840745E-2</v>
      </c>
    </row>
    <row r="125" spans="1:30" x14ac:dyDescent="0.35">
      <c r="A125" t="s">
        <v>524</v>
      </c>
      <c r="B125" t="s">
        <v>396</v>
      </c>
      <c r="C125" s="4" t="s">
        <v>74</v>
      </c>
      <c r="D125" s="4" t="s">
        <v>70</v>
      </c>
      <c r="E125">
        <v>34</v>
      </c>
      <c r="F125">
        <v>2366</v>
      </c>
      <c r="G125" s="7">
        <f t="shared" si="27"/>
        <v>69.588235294117652</v>
      </c>
      <c r="H125">
        <v>2</v>
      </c>
      <c r="I125">
        <v>2</v>
      </c>
      <c r="J125">
        <v>0</v>
      </c>
      <c r="K125">
        <v>34</v>
      </c>
      <c r="L125" s="7">
        <v>69.588235294117652</v>
      </c>
      <c r="M125" s="3">
        <v>1.8</v>
      </c>
      <c r="N125" s="3">
        <v>1.8</v>
      </c>
      <c r="O125" s="3">
        <v>1.71</v>
      </c>
      <c r="P125" s="2">
        <v>7.0000000000000007E-2</v>
      </c>
      <c r="Q125" s="2">
        <v>7.0000000000000007E-2</v>
      </c>
      <c r="R125" s="2">
        <v>0.34896981428054735</v>
      </c>
      <c r="S125" s="2">
        <v>0.21199999999999999</v>
      </c>
      <c r="T125" s="2">
        <f t="shared" si="28"/>
        <v>0</v>
      </c>
      <c r="U125">
        <v>5</v>
      </c>
      <c r="V125">
        <v>78</v>
      </c>
      <c r="W125" s="7">
        <f t="shared" si="29"/>
        <v>87.378751463316377</v>
      </c>
      <c r="X125" s="7">
        <f t="shared" si="30"/>
        <v>9.3787514633163767</v>
      </c>
      <c r="Y125" s="2">
        <f t="shared" si="31"/>
        <v>0.10733446411458275</v>
      </c>
      <c r="Z125" s="7"/>
      <c r="AA125" s="3">
        <f t="shared" si="32"/>
        <v>17.475750292663275</v>
      </c>
      <c r="AB125" s="3">
        <f t="shared" si="33"/>
        <v>2.2994408279820098</v>
      </c>
      <c r="AC125" s="2">
        <f t="shared" si="34"/>
        <v>0.45988816559640194</v>
      </c>
      <c r="AD125" s="2">
        <f t="shared" si="35"/>
        <v>5.9888165596401956E-2</v>
      </c>
    </row>
    <row r="126" spans="1:30" x14ac:dyDescent="0.35">
      <c r="A126" t="s">
        <v>632</v>
      </c>
      <c r="B126" t="s">
        <v>633</v>
      </c>
      <c r="C126" s="4" t="s">
        <v>89</v>
      </c>
      <c r="D126" s="4" t="s">
        <v>69</v>
      </c>
      <c r="E126">
        <v>29</v>
      </c>
      <c r="F126">
        <v>2034</v>
      </c>
      <c r="G126" s="7">
        <f t="shared" si="27"/>
        <v>70.137931034482762</v>
      </c>
      <c r="H126">
        <v>1</v>
      </c>
      <c r="I126">
        <v>1</v>
      </c>
      <c r="J126">
        <v>0</v>
      </c>
      <c r="K126">
        <v>29</v>
      </c>
      <c r="L126" s="7">
        <v>70.137931034482762</v>
      </c>
      <c r="M126" s="3">
        <v>0.5</v>
      </c>
      <c r="N126" s="3">
        <v>0.5</v>
      </c>
      <c r="O126" s="3">
        <v>1.64</v>
      </c>
      <c r="P126" s="2">
        <v>0.02</v>
      </c>
      <c r="Q126" s="2">
        <v>7.0000000000000007E-2</v>
      </c>
      <c r="R126" s="2">
        <v>0.24618708948998508</v>
      </c>
      <c r="S126" s="2">
        <v>0.23016</v>
      </c>
      <c r="T126" s="2">
        <f t="shared" si="28"/>
        <v>0</v>
      </c>
      <c r="U126">
        <v>4.5</v>
      </c>
      <c r="V126">
        <v>66</v>
      </c>
      <c r="W126" s="7">
        <f t="shared" si="29"/>
        <v>87.341062380838267</v>
      </c>
      <c r="X126" s="7">
        <f t="shared" si="30"/>
        <v>21.341062380838267</v>
      </c>
      <c r="Y126" s="2">
        <f t="shared" si="31"/>
        <v>0.2443416853321935</v>
      </c>
      <c r="Z126" s="7"/>
      <c r="AA126" s="3">
        <f t="shared" si="32"/>
        <v>19.409124973519614</v>
      </c>
      <c r="AB126" s="3">
        <f t="shared" si="33"/>
        <v>2.2984490100220598</v>
      </c>
      <c r="AC126" s="2">
        <f t="shared" si="34"/>
        <v>0.5107664466715689</v>
      </c>
      <c r="AD126" s="2">
        <f t="shared" si="35"/>
        <v>6.6322002227124408E-2</v>
      </c>
    </row>
    <row r="127" spans="1:30" x14ac:dyDescent="0.35">
      <c r="B127" t="s">
        <v>12</v>
      </c>
      <c r="C127" s="4" t="s">
        <v>84</v>
      </c>
      <c r="D127" s="4" t="s">
        <v>70</v>
      </c>
      <c r="E127">
        <v>29</v>
      </c>
      <c r="F127">
        <v>2397</v>
      </c>
      <c r="G127" s="7">
        <f t="shared" si="27"/>
        <v>82.65517241379311</v>
      </c>
      <c r="H127">
        <v>1</v>
      </c>
      <c r="I127">
        <v>3</v>
      </c>
      <c r="J127">
        <v>0</v>
      </c>
      <c r="K127">
        <v>29</v>
      </c>
      <c r="L127" s="7">
        <v>82.65517241379311</v>
      </c>
      <c r="M127" s="3">
        <v>1.72</v>
      </c>
      <c r="N127" s="3">
        <v>1.72</v>
      </c>
      <c r="O127" s="3">
        <v>3.13</v>
      </c>
      <c r="P127" s="2">
        <v>0.06</v>
      </c>
      <c r="Q127" s="2">
        <v>0.12</v>
      </c>
      <c r="R127" s="2">
        <v>0.49952142743233141</v>
      </c>
      <c r="S127" s="2">
        <v>0.12825999999999999</v>
      </c>
      <c r="T127" s="2">
        <f t="shared" si="28"/>
        <v>0</v>
      </c>
      <c r="U127">
        <v>5.5</v>
      </c>
      <c r="V127">
        <v>79</v>
      </c>
      <c r="W127" s="7">
        <f t="shared" si="29"/>
        <v>86.344581395537617</v>
      </c>
      <c r="X127" s="7">
        <f t="shared" si="30"/>
        <v>7.3445813955376167</v>
      </c>
      <c r="Y127" s="2">
        <f t="shared" si="31"/>
        <v>8.5061289044794569E-2</v>
      </c>
      <c r="Z127" s="7"/>
      <c r="AA127" s="3">
        <f t="shared" si="32"/>
        <v>15.699014799188658</v>
      </c>
      <c r="AB127" s="3">
        <f t="shared" si="33"/>
        <v>2.2722258261983583</v>
      </c>
      <c r="AC127" s="2">
        <f t="shared" si="34"/>
        <v>0.41313196839970151</v>
      </c>
      <c r="AD127" s="2">
        <f t="shared" si="35"/>
        <v>4.9495604763337878E-2</v>
      </c>
    </row>
    <row r="128" spans="1:30" x14ac:dyDescent="0.35">
      <c r="A128" t="s">
        <v>568</v>
      </c>
      <c r="B128" t="s">
        <v>323</v>
      </c>
      <c r="C128" s="4" t="s">
        <v>80</v>
      </c>
      <c r="D128" s="4" t="s">
        <v>70</v>
      </c>
      <c r="E128">
        <v>37</v>
      </c>
      <c r="F128">
        <v>2127</v>
      </c>
      <c r="G128" s="7">
        <f t="shared" si="27"/>
        <v>57.486486486486484</v>
      </c>
      <c r="H128">
        <v>5</v>
      </c>
      <c r="I128">
        <v>2</v>
      </c>
      <c r="J128">
        <v>0</v>
      </c>
      <c r="K128">
        <v>37</v>
      </c>
      <c r="L128" s="7">
        <v>57.486486486486484</v>
      </c>
      <c r="M128" s="3">
        <v>6.51</v>
      </c>
      <c r="N128" s="3">
        <v>6.51</v>
      </c>
      <c r="O128" s="3">
        <v>2.88</v>
      </c>
      <c r="P128" s="2">
        <v>0.28000000000000003</v>
      </c>
      <c r="Q128" s="2">
        <v>0.12</v>
      </c>
      <c r="R128" s="2">
        <v>0.28798486680605417</v>
      </c>
      <c r="S128" s="2">
        <v>0.17595999999999998</v>
      </c>
      <c r="T128" s="2">
        <f t="shared" si="28"/>
        <v>0</v>
      </c>
      <c r="U128">
        <v>6.5</v>
      </c>
      <c r="V128">
        <v>101</v>
      </c>
      <c r="W128" s="7">
        <f t="shared" si="29"/>
        <v>82.739586738490672</v>
      </c>
      <c r="X128" s="7">
        <f t="shared" si="30"/>
        <v>-18.260413261509328</v>
      </c>
      <c r="Y128" s="2">
        <f t="shared" si="31"/>
        <v>0.22069741923202688</v>
      </c>
      <c r="Z128" s="7"/>
      <c r="AA128" s="3">
        <f t="shared" si="32"/>
        <v>12.729167190537026</v>
      </c>
      <c r="AB128" s="3">
        <f t="shared" si="33"/>
        <v>2.1773575457497545</v>
      </c>
      <c r="AC128" s="2">
        <f t="shared" si="34"/>
        <v>0.33497808396150069</v>
      </c>
      <c r="AD128" s="2">
        <f t="shared" si="35"/>
        <v>2.7285776269192999E-2</v>
      </c>
    </row>
    <row r="129" spans="1:30" x14ac:dyDescent="0.35">
      <c r="A129" t="s">
        <v>522</v>
      </c>
      <c r="B129" t="s">
        <v>359</v>
      </c>
      <c r="C129" s="4" t="s">
        <v>74</v>
      </c>
      <c r="D129" s="4" t="s">
        <v>70</v>
      </c>
      <c r="E129">
        <v>29</v>
      </c>
      <c r="F129">
        <v>2511</v>
      </c>
      <c r="G129" s="7">
        <f t="shared" si="27"/>
        <v>86.58620689655173</v>
      </c>
      <c r="H129">
        <v>4</v>
      </c>
      <c r="I129">
        <v>2</v>
      </c>
      <c r="J129">
        <v>0</v>
      </c>
      <c r="K129">
        <v>29</v>
      </c>
      <c r="L129" s="7">
        <v>86.58620689655173</v>
      </c>
      <c r="M129" s="3">
        <v>1.88</v>
      </c>
      <c r="N129" s="3">
        <v>1.88</v>
      </c>
      <c r="O129" s="3">
        <v>3.52</v>
      </c>
      <c r="P129" s="2">
        <v>7.0000000000000007E-2</v>
      </c>
      <c r="Q129" s="2">
        <v>0.13</v>
      </c>
      <c r="R129" s="2">
        <v>0.34896981428054735</v>
      </c>
      <c r="S129" s="2">
        <v>0.21199999999999999</v>
      </c>
      <c r="T129" s="2">
        <f t="shared" si="28"/>
        <v>0</v>
      </c>
      <c r="U129">
        <v>5.5</v>
      </c>
      <c r="V129">
        <v>90</v>
      </c>
      <c r="W129" s="7">
        <f t="shared" si="29"/>
        <v>82.618124614135866</v>
      </c>
      <c r="X129" s="7">
        <f t="shared" si="30"/>
        <v>-7.3818753858641344</v>
      </c>
      <c r="Y129" s="2">
        <f t="shared" si="31"/>
        <v>8.9349345804456859E-2</v>
      </c>
      <c r="Z129" s="7"/>
      <c r="AA129" s="3">
        <f t="shared" si="32"/>
        <v>15.021477202570157</v>
      </c>
      <c r="AB129" s="3">
        <f t="shared" si="33"/>
        <v>2.174161174056207</v>
      </c>
      <c r="AC129" s="2">
        <f t="shared" si="34"/>
        <v>0.39530203164658312</v>
      </c>
      <c r="AD129" s="2">
        <f t="shared" si="35"/>
        <v>3.1665668010219458E-2</v>
      </c>
    </row>
    <row r="130" spans="1:30" x14ac:dyDescent="0.35">
      <c r="A130" t="s">
        <v>540</v>
      </c>
      <c r="B130" t="s">
        <v>363</v>
      </c>
      <c r="C130" s="4" t="s">
        <v>76</v>
      </c>
      <c r="D130" s="4" t="s">
        <v>70</v>
      </c>
      <c r="E130">
        <v>30</v>
      </c>
      <c r="F130">
        <v>1823</v>
      </c>
      <c r="G130" s="7">
        <f t="shared" ref="G130:G158" si="36">F130/E130</f>
        <v>60.766666666666666</v>
      </c>
      <c r="H130">
        <v>2</v>
      </c>
      <c r="I130">
        <v>6</v>
      </c>
      <c r="J130">
        <v>0</v>
      </c>
      <c r="K130">
        <v>30</v>
      </c>
      <c r="L130" s="7">
        <v>60.766666666666666</v>
      </c>
      <c r="M130" s="3">
        <v>2.11</v>
      </c>
      <c r="N130" s="3">
        <v>2.11</v>
      </c>
      <c r="O130" s="3">
        <v>4.21</v>
      </c>
      <c r="P130" s="2">
        <v>0.1</v>
      </c>
      <c r="Q130" s="2">
        <v>0.21</v>
      </c>
      <c r="R130" s="2">
        <v>0.17795719394737325</v>
      </c>
      <c r="S130" s="2">
        <v>0.18973999999999999</v>
      </c>
      <c r="T130" s="2">
        <f t="shared" ref="T130:T160" si="37">J130/E130</f>
        <v>0</v>
      </c>
      <c r="U130">
        <v>5.5</v>
      </c>
      <c r="V130">
        <v>74</v>
      </c>
      <c r="W130" s="7">
        <f t="shared" ref="W130:W160" si="38">calcPoints(D130,K130,L130,P130,Q130,R130,S130,T130)</f>
        <v>82.535293596198983</v>
      </c>
      <c r="X130" s="7">
        <f t="shared" ref="X130:X160" si="39">W130-V130</f>
        <v>8.5352935961989829</v>
      </c>
      <c r="Y130" s="2">
        <f t="shared" ref="Y130:Y160" si="40">ABS(X130/W130)</f>
        <v>0.10341386362490701</v>
      </c>
      <c r="Z130" s="7"/>
      <c r="AA130" s="3">
        <f t="shared" ref="AA130:AA160" si="41">W130/U130</f>
        <v>15.006417017490724</v>
      </c>
      <c r="AB130" s="3">
        <f t="shared" ref="AB130:AB160" si="42">W130/38</f>
        <v>2.1719814104262891</v>
      </c>
      <c r="AC130" s="2">
        <f t="shared" ref="AC130:AC160" si="43">AB130/U130</f>
        <v>0.39490571098659805</v>
      </c>
      <c r="AD130" s="2">
        <f t="shared" ref="AD130:AD160" si="44">(AB130-2)/U130</f>
        <v>3.1269347350234386E-2</v>
      </c>
    </row>
    <row r="131" spans="1:30" x14ac:dyDescent="0.35">
      <c r="A131" t="s">
        <v>523</v>
      </c>
      <c r="B131" t="s">
        <v>334</v>
      </c>
      <c r="C131" s="4" t="s">
        <v>74</v>
      </c>
      <c r="D131" s="4" t="s">
        <v>70</v>
      </c>
      <c r="E131">
        <v>35</v>
      </c>
      <c r="F131">
        <v>1974</v>
      </c>
      <c r="G131" s="7">
        <f t="shared" si="36"/>
        <v>56.4</v>
      </c>
      <c r="H131">
        <v>3</v>
      </c>
      <c r="I131">
        <v>6</v>
      </c>
      <c r="J131">
        <v>0</v>
      </c>
      <c r="K131">
        <v>35</v>
      </c>
      <c r="L131" s="7">
        <v>56.4</v>
      </c>
      <c r="M131" s="3">
        <v>3.72</v>
      </c>
      <c r="N131" s="3">
        <v>3.72</v>
      </c>
      <c r="O131" s="3">
        <v>7.64</v>
      </c>
      <c r="P131" s="2">
        <v>0.17</v>
      </c>
      <c r="Q131" s="2">
        <v>0.35</v>
      </c>
      <c r="R131" s="2">
        <v>0.34896981428054735</v>
      </c>
      <c r="S131" s="2">
        <v>0.21199999999999999</v>
      </c>
      <c r="T131" s="2">
        <f t="shared" si="37"/>
        <v>0</v>
      </c>
      <c r="U131">
        <v>6</v>
      </c>
      <c r="V131">
        <v>99</v>
      </c>
      <c r="W131" s="7">
        <f t="shared" si="38"/>
        <v>81.467276833152496</v>
      </c>
      <c r="X131" s="7">
        <f t="shared" si="39"/>
        <v>-17.532723166847504</v>
      </c>
      <c r="Y131" s="2">
        <f t="shared" si="40"/>
        <v>0.21521184760790596</v>
      </c>
      <c r="Z131" s="7"/>
      <c r="AA131" s="3">
        <f t="shared" si="41"/>
        <v>13.577879472192082</v>
      </c>
      <c r="AB131" s="3">
        <f t="shared" si="42"/>
        <v>2.1438757061355922</v>
      </c>
      <c r="AC131" s="2">
        <f t="shared" si="43"/>
        <v>0.35731261768926537</v>
      </c>
      <c r="AD131" s="2">
        <f t="shared" si="44"/>
        <v>2.3979284355932034E-2</v>
      </c>
    </row>
    <row r="132" spans="1:30" x14ac:dyDescent="0.35">
      <c r="A132" t="s">
        <v>630</v>
      </c>
      <c r="B132" t="s">
        <v>268</v>
      </c>
      <c r="C132" s="4" t="s">
        <v>89</v>
      </c>
      <c r="D132" s="4" t="s">
        <v>69</v>
      </c>
      <c r="E132">
        <v>26</v>
      </c>
      <c r="F132">
        <v>1921</v>
      </c>
      <c r="G132" s="7">
        <f t="shared" si="36"/>
        <v>73.884615384615387</v>
      </c>
      <c r="H132">
        <v>0</v>
      </c>
      <c r="I132">
        <v>0</v>
      </c>
      <c r="J132">
        <v>0</v>
      </c>
      <c r="K132">
        <v>26</v>
      </c>
      <c r="L132" s="7">
        <v>73.884615384615387</v>
      </c>
      <c r="M132" s="3">
        <v>1.39</v>
      </c>
      <c r="N132" s="3">
        <v>1.39</v>
      </c>
      <c r="O132" s="3">
        <v>0.7</v>
      </c>
      <c r="P132" s="2">
        <v>0.06</v>
      </c>
      <c r="Q132" s="2">
        <v>0.03</v>
      </c>
      <c r="R132" s="2">
        <v>0.24618708948998508</v>
      </c>
      <c r="S132" s="2">
        <v>0.23016</v>
      </c>
      <c r="T132" s="2">
        <f t="shared" si="37"/>
        <v>0</v>
      </c>
      <c r="U132">
        <v>4.5</v>
      </c>
      <c r="V132">
        <v>57</v>
      </c>
      <c r="W132" s="7">
        <f t="shared" si="38"/>
        <v>81.224297306958448</v>
      </c>
      <c r="X132" s="7">
        <f t="shared" si="39"/>
        <v>24.224297306958448</v>
      </c>
      <c r="Y132" s="2">
        <f t="shared" si="40"/>
        <v>0.29823954297088345</v>
      </c>
      <c r="Z132" s="7"/>
      <c r="AA132" s="3">
        <f t="shared" si="41"/>
        <v>18.049843845990765</v>
      </c>
      <c r="AB132" s="3">
        <f t="shared" si="42"/>
        <v>2.1374815080778538</v>
      </c>
      <c r="AC132" s="2">
        <f t="shared" si="43"/>
        <v>0.47499589068396753</v>
      </c>
      <c r="AD132" s="2">
        <f t="shared" si="44"/>
        <v>3.0551446239523057E-2</v>
      </c>
    </row>
    <row r="133" spans="1:30" x14ac:dyDescent="0.35">
      <c r="A133" t="s">
        <v>611</v>
      </c>
      <c r="B133" t="s">
        <v>420</v>
      </c>
      <c r="C133" s="4" t="s">
        <v>87</v>
      </c>
      <c r="D133" s="4" t="s">
        <v>70</v>
      </c>
      <c r="E133">
        <v>31</v>
      </c>
      <c r="F133">
        <v>2770</v>
      </c>
      <c r="G133" s="7">
        <f t="shared" si="36"/>
        <v>89.354838709677423</v>
      </c>
      <c r="H133">
        <v>4</v>
      </c>
      <c r="I133">
        <v>3</v>
      </c>
      <c r="J133">
        <v>0</v>
      </c>
      <c r="K133">
        <v>31</v>
      </c>
      <c r="L133" s="7">
        <v>89.354838709677423</v>
      </c>
      <c r="M133" s="3">
        <v>2.2599999999999998</v>
      </c>
      <c r="N133" s="3">
        <v>2.2599999999999998</v>
      </c>
      <c r="O133" s="3">
        <v>2.35</v>
      </c>
      <c r="P133" s="2">
        <v>7.0000000000000007E-2</v>
      </c>
      <c r="Q133" s="2">
        <v>0.08</v>
      </c>
      <c r="R133" s="2">
        <v>0.18161947538840026</v>
      </c>
      <c r="S133" s="2">
        <v>0.21517999999999998</v>
      </c>
      <c r="T133" s="2">
        <f t="shared" si="37"/>
        <v>0</v>
      </c>
      <c r="U133">
        <v>5</v>
      </c>
      <c r="V133">
        <v>90</v>
      </c>
      <c r="W133" s="7">
        <f t="shared" si="38"/>
        <v>79.118512625929284</v>
      </c>
      <c r="X133" s="7">
        <f t="shared" si="39"/>
        <v>-10.881487374070716</v>
      </c>
      <c r="Y133" s="2">
        <f t="shared" si="40"/>
        <v>0.13753402349104016</v>
      </c>
      <c r="Z133" s="7"/>
      <c r="AA133" s="3">
        <f t="shared" si="41"/>
        <v>15.823702525185857</v>
      </c>
      <c r="AB133" s="3">
        <f t="shared" si="42"/>
        <v>2.082066121734981</v>
      </c>
      <c r="AC133" s="2">
        <f t="shared" si="43"/>
        <v>0.41641322434699618</v>
      </c>
      <c r="AD133" s="2">
        <f t="shared" si="44"/>
        <v>1.6413224346996193E-2</v>
      </c>
    </row>
    <row r="134" spans="1:30" x14ac:dyDescent="0.35">
      <c r="A134" t="s">
        <v>642</v>
      </c>
      <c r="B134" t="s">
        <v>273</v>
      </c>
      <c r="C134" s="4" t="s">
        <v>90</v>
      </c>
      <c r="D134" s="4" t="s">
        <v>69</v>
      </c>
      <c r="E134">
        <v>26</v>
      </c>
      <c r="F134">
        <v>2099</v>
      </c>
      <c r="G134" s="7">
        <f t="shared" si="36"/>
        <v>80.730769230769226</v>
      </c>
      <c r="H134">
        <v>0</v>
      </c>
      <c r="I134">
        <v>1</v>
      </c>
      <c r="J134">
        <v>0</v>
      </c>
      <c r="K134">
        <v>26</v>
      </c>
      <c r="L134" s="7">
        <v>80.730769230769226</v>
      </c>
      <c r="M134" s="3">
        <v>0.16</v>
      </c>
      <c r="N134" s="3">
        <v>0.16</v>
      </c>
      <c r="O134" s="3">
        <v>1.03</v>
      </c>
      <c r="P134" s="2">
        <v>0.01</v>
      </c>
      <c r="Q134" s="2">
        <v>0.04</v>
      </c>
      <c r="R134" s="2">
        <v>0.24817745983836939</v>
      </c>
      <c r="S134" s="2">
        <v>0.16542750000000001</v>
      </c>
      <c r="T134" s="2">
        <f t="shared" si="37"/>
        <v>0</v>
      </c>
      <c r="U134">
        <v>4.5</v>
      </c>
      <c r="V134">
        <v>56</v>
      </c>
      <c r="W134" s="7">
        <f t="shared" si="38"/>
        <v>77.707340823190421</v>
      </c>
      <c r="X134" s="7">
        <f t="shared" si="39"/>
        <v>21.707340823190421</v>
      </c>
      <c r="Y134" s="2">
        <f t="shared" si="40"/>
        <v>0.27934736401007093</v>
      </c>
      <c r="Z134" s="7"/>
      <c r="AA134" s="3">
        <f t="shared" si="41"/>
        <v>17.268297960708981</v>
      </c>
      <c r="AB134" s="3">
        <f t="shared" si="42"/>
        <v>2.0449300216629056</v>
      </c>
      <c r="AC134" s="2">
        <f t="shared" si="43"/>
        <v>0.45442889370286793</v>
      </c>
      <c r="AD134" s="2">
        <f t="shared" si="44"/>
        <v>9.9844492584234678E-3</v>
      </c>
    </row>
    <row r="135" spans="1:30" x14ac:dyDescent="0.35">
      <c r="A135" t="s">
        <v>620</v>
      </c>
      <c r="B135" t="s">
        <v>422</v>
      </c>
      <c r="C135" s="4" t="s">
        <v>88</v>
      </c>
      <c r="D135" s="4" t="s">
        <v>70</v>
      </c>
      <c r="E135">
        <v>29</v>
      </c>
      <c r="F135">
        <v>2344</v>
      </c>
      <c r="G135" s="7">
        <f t="shared" si="36"/>
        <v>80.827586206896555</v>
      </c>
      <c r="H135">
        <v>0</v>
      </c>
      <c r="I135">
        <v>3</v>
      </c>
      <c r="J135">
        <v>0</v>
      </c>
      <c r="K135">
        <v>29</v>
      </c>
      <c r="L135" s="7">
        <v>80.827586206896555</v>
      </c>
      <c r="M135" s="3">
        <v>0.96</v>
      </c>
      <c r="N135" s="3">
        <v>0.96</v>
      </c>
      <c r="O135" s="3">
        <v>2.79</v>
      </c>
      <c r="P135" s="2">
        <v>0.04</v>
      </c>
      <c r="Q135" s="2">
        <v>0.11</v>
      </c>
      <c r="R135" s="2">
        <v>0.36449470299794445</v>
      </c>
      <c r="S135" s="2">
        <v>0.17277999999999999</v>
      </c>
      <c r="T135" s="2">
        <f t="shared" si="37"/>
        <v>0</v>
      </c>
      <c r="U135">
        <v>5</v>
      </c>
      <c r="V135">
        <v>76</v>
      </c>
      <c r="W135" s="7">
        <f t="shared" si="38"/>
        <v>77.363281942495945</v>
      </c>
      <c r="X135" s="7">
        <f t="shared" si="39"/>
        <v>1.363281942495945</v>
      </c>
      <c r="Y135" s="2">
        <f t="shared" si="40"/>
        <v>1.7621821467052951E-2</v>
      </c>
      <c r="Z135" s="7"/>
      <c r="AA135" s="3">
        <f t="shared" si="41"/>
        <v>15.472656388499189</v>
      </c>
      <c r="AB135" s="3">
        <f t="shared" si="42"/>
        <v>2.0358758405919986</v>
      </c>
      <c r="AC135" s="2">
        <f t="shared" si="43"/>
        <v>0.40717516811839971</v>
      </c>
      <c r="AD135" s="2">
        <f t="shared" si="44"/>
        <v>7.175168118399711E-3</v>
      </c>
    </row>
    <row r="136" spans="1:30" x14ac:dyDescent="0.35">
      <c r="A136" t="s">
        <v>525</v>
      </c>
      <c r="B136" t="s">
        <v>437</v>
      </c>
      <c r="C136" s="4" t="s">
        <v>74</v>
      </c>
      <c r="D136" s="4" t="s">
        <v>70</v>
      </c>
      <c r="E136">
        <v>33</v>
      </c>
      <c r="F136">
        <v>2132</v>
      </c>
      <c r="G136" s="7">
        <f t="shared" si="36"/>
        <v>64.606060606060609</v>
      </c>
      <c r="H136">
        <v>0</v>
      </c>
      <c r="I136">
        <v>0</v>
      </c>
      <c r="J136">
        <v>0</v>
      </c>
      <c r="K136">
        <v>33</v>
      </c>
      <c r="L136" s="7">
        <v>64.606060606060609</v>
      </c>
      <c r="M136" s="3">
        <v>0.48</v>
      </c>
      <c r="N136" s="3">
        <v>0.48</v>
      </c>
      <c r="O136" s="3">
        <v>1.5</v>
      </c>
      <c r="P136" s="3">
        <v>0.02</v>
      </c>
      <c r="Q136" s="3">
        <v>0.06</v>
      </c>
      <c r="R136" s="2">
        <v>0.34896981428054735</v>
      </c>
      <c r="S136" s="2">
        <v>0.21199999999999999</v>
      </c>
      <c r="T136" s="2">
        <f t="shared" si="37"/>
        <v>0</v>
      </c>
      <c r="U136">
        <v>4.5</v>
      </c>
      <c r="V136">
        <v>47</v>
      </c>
      <c r="W136" s="7">
        <f t="shared" si="38"/>
        <v>77.152892760146941</v>
      </c>
      <c r="X136" s="7">
        <f t="shared" si="39"/>
        <v>30.152892760146941</v>
      </c>
      <c r="Y136" s="2">
        <f t="shared" si="40"/>
        <v>0.39081998978167043</v>
      </c>
      <c r="Z136" s="7"/>
      <c r="AA136" s="3">
        <f t="shared" si="41"/>
        <v>17.145087280032655</v>
      </c>
      <c r="AB136" s="3">
        <f t="shared" si="42"/>
        <v>2.0303392831617617</v>
      </c>
      <c r="AC136" s="2">
        <f t="shared" si="43"/>
        <v>0.4511865073692804</v>
      </c>
      <c r="AD136" s="2">
        <f t="shared" si="44"/>
        <v>6.7420629248359353E-3</v>
      </c>
    </row>
    <row r="137" spans="1:30" x14ac:dyDescent="0.35">
      <c r="A137" t="s">
        <v>626</v>
      </c>
      <c r="B137" t="s">
        <v>426</v>
      </c>
      <c r="C137" s="4" t="s">
        <v>89</v>
      </c>
      <c r="D137" s="4" t="s">
        <v>70</v>
      </c>
      <c r="E137">
        <v>33</v>
      </c>
      <c r="F137">
        <v>2951</v>
      </c>
      <c r="G137" s="7">
        <f t="shared" si="36"/>
        <v>89.424242424242422</v>
      </c>
      <c r="H137">
        <v>1</v>
      </c>
      <c r="I137">
        <v>3</v>
      </c>
      <c r="J137">
        <v>0</v>
      </c>
      <c r="K137">
        <v>33</v>
      </c>
      <c r="L137" s="7">
        <v>89.424242424242422</v>
      </c>
      <c r="M137" s="3">
        <v>1.3</v>
      </c>
      <c r="N137" s="3">
        <v>1.3</v>
      </c>
      <c r="O137" s="3">
        <v>1.37</v>
      </c>
      <c r="P137" s="2">
        <v>0.04</v>
      </c>
      <c r="Q137" s="2">
        <v>0.04</v>
      </c>
      <c r="R137" s="2">
        <v>0.24618708948998508</v>
      </c>
      <c r="S137" s="2">
        <v>0.23744000000000001</v>
      </c>
      <c r="T137" s="2">
        <f t="shared" si="37"/>
        <v>0</v>
      </c>
      <c r="U137">
        <v>5</v>
      </c>
      <c r="V137">
        <v>79</v>
      </c>
      <c r="W137" s="7">
        <f t="shared" si="38"/>
        <v>76.78109839761396</v>
      </c>
      <c r="X137" s="7">
        <f t="shared" si="39"/>
        <v>-2.2189016023860404</v>
      </c>
      <c r="Y137" s="2">
        <f t="shared" si="40"/>
        <v>2.8899060428848915E-2</v>
      </c>
      <c r="Z137" s="7"/>
      <c r="AA137" s="3">
        <f t="shared" si="41"/>
        <v>15.356219679522791</v>
      </c>
      <c r="AB137" s="3">
        <f t="shared" si="42"/>
        <v>2.020555220989841</v>
      </c>
      <c r="AC137" s="2">
        <f t="shared" si="43"/>
        <v>0.40411104419796817</v>
      </c>
      <c r="AD137" s="2">
        <f t="shared" si="44"/>
        <v>4.1110441979681943E-3</v>
      </c>
    </row>
    <row r="138" spans="1:30" x14ac:dyDescent="0.35">
      <c r="A138" t="s">
        <v>549</v>
      </c>
      <c r="B138" t="s">
        <v>366</v>
      </c>
      <c r="C138" s="4" t="s">
        <v>77</v>
      </c>
      <c r="D138" s="4" t="s">
        <v>70</v>
      </c>
      <c r="E138">
        <v>32</v>
      </c>
      <c r="F138">
        <v>2089</v>
      </c>
      <c r="G138" s="7">
        <f t="shared" si="36"/>
        <v>65.28125</v>
      </c>
      <c r="H138">
        <v>3</v>
      </c>
      <c r="I138">
        <v>0</v>
      </c>
      <c r="J138">
        <v>0</v>
      </c>
      <c r="K138">
        <v>32</v>
      </c>
      <c r="L138" s="7">
        <v>65.28125</v>
      </c>
      <c r="M138" s="3">
        <v>1.79</v>
      </c>
      <c r="N138" s="3">
        <v>1.79</v>
      </c>
      <c r="O138" s="3">
        <v>1.07</v>
      </c>
      <c r="P138" s="2">
        <v>0.08</v>
      </c>
      <c r="Q138" s="2">
        <v>0.05</v>
      </c>
      <c r="R138" s="2">
        <v>0.20048818629108286</v>
      </c>
      <c r="S138" s="2">
        <v>0.21517999999999998</v>
      </c>
      <c r="T138" s="2">
        <f t="shared" si="37"/>
        <v>0</v>
      </c>
      <c r="U138">
        <v>5.5</v>
      </c>
      <c r="V138">
        <v>73</v>
      </c>
      <c r="W138" s="7">
        <f t="shared" si="38"/>
        <v>76.295973072425767</v>
      </c>
      <c r="X138" s="7">
        <f t="shared" si="39"/>
        <v>3.2959730724257668</v>
      </c>
      <c r="Y138" s="2">
        <f t="shared" si="40"/>
        <v>4.3199830078803583E-2</v>
      </c>
      <c r="Z138" s="7"/>
      <c r="AA138" s="3">
        <f t="shared" si="41"/>
        <v>13.871995104077412</v>
      </c>
      <c r="AB138" s="3">
        <f t="shared" si="42"/>
        <v>2.007788765063836</v>
      </c>
      <c r="AC138" s="2">
        <f t="shared" si="43"/>
        <v>0.36505250273887929</v>
      </c>
      <c r="AD138" s="2">
        <f t="shared" si="44"/>
        <v>1.4161391025156304E-3</v>
      </c>
    </row>
    <row r="139" spans="1:30" x14ac:dyDescent="0.35">
      <c r="A139" t="s">
        <v>575</v>
      </c>
      <c r="B139" t="s">
        <v>576</v>
      </c>
      <c r="C139" s="4" t="s">
        <v>81</v>
      </c>
      <c r="D139" s="4" t="s">
        <v>70</v>
      </c>
      <c r="E139">
        <v>31</v>
      </c>
      <c r="F139">
        <v>2207</v>
      </c>
      <c r="G139" s="7">
        <f t="shared" si="36"/>
        <v>71.193548387096769</v>
      </c>
      <c r="H139">
        <v>1</v>
      </c>
      <c r="I139">
        <v>1</v>
      </c>
      <c r="J139">
        <v>0</v>
      </c>
      <c r="K139">
        <v>31</v>
      </c>
      <c r="L139" s="7">
        <v>71.193548387096769</v>
      </c>
      <c r="M139" s="3">
        <v>1.1499999999999999</v>
      </c>
      <c r="N139" s="3">
        <v>1.1499999999999999</v>
      </c>
      <c r="O139" s="3">
        <v>3</v>
      </c>
      <c r="P139" s="3">
        <v>0.05</v>
      </c>
      <c r="Q139" s="3">
        <v>0.12</v>
      </c>
      <c r="R139" s="2">
        <v>0.16943840885628872</v>
      </c>
      <c r="S139" s="2">
        <v>0.20033999999999999</v>
      </c>
      <c r="T139" s="2">
        <f t="shared" si="37"/>
        <v>0</v>
      </c>
      <c r="U139">
        <v>6</v>
      </c>
      <c r="V139">
        <v>98</v>
      </c>
      <c r="W139" s="7">
        <f t="shared" si="38"/>
        <v>76.000606230100502</v>
      </c>
      <c r="X139" s="7">
        <f t="shared" si="39"/>
        <v>-21.999393769899498</v>
      </c>
      <c r="Y139" s="2">
        <f t="shared" si="40"/>
        <v>0.28946339853255676</v>
      </c>
      <c r="Z139" s="7"/>
      <c r="AA139" s="3">
        <f t="shared" si="41"/>
        <v>12.666767705016751</v>
      </c>
      <c r="AB139" s="3">
        <f t="shared" si="42"/>
        <v>2.0000159534236972</v>
      </c>
      <c r="AC139" s="2">
        <f t="shared" si="43"/>
        <v>0.33333599223728289</v>
      </c>
      <c r="AD139" s="2">
        <f t="shared" si="44"/>
        <v>2.6589039495335718E-6</v>
      </c>
    </row>
    <row r="140" spans="1:30" x14ac:dyDescent="0.35">
      <c r="A140" t="s">
        <v>570</v>
      </c>
      <c r="B140" t="s">
        <v>409</v>
      </c>
      <c r="C140" s="4" t="s">
        <v>80</v>
      </c>
      <c r="D140" s="4" t="s">
        <v>70</v>
      </c>
      <c r="E140">
        <v>33</v>
      </c>
      <c r="F140">
        <v>2828</v>
      </c>
      <c r="G140" s="7">
        <f t="shared" si="36"/>
        <v>85.696969696969703</v>
      </c>
      <c r="H140">
        <v>0</v>
      </c>
      <c r="I140">
        <v>2</v>
      </c>
      <c r="J140">
        <v>0</v>
      </c>
      <c r="K140">
        <v>33</v>
      </c>
      <c r="L140" s="7">
        <v>85.696969696969703</v>
      </c>
      <c r="M140" s="3">
        <v>0.59</v>
      </c>
      <c r="N140" s="3">
        <v>0.59</v>
      </c>
      <c r="O140" s="3">
        <v>0.93</v>
      </c>
      <c r="P140" s="2">
        <v>0.02</v>
      </c>
      <c r="Q140" s="2">
        <v>0.03</v>
      </c>
      <c r="R140" s="2">
        <v>0.28798486680605417</v>
      </c>
      <c r="S140" s="2">
        <v>0.17595999999999998</v>
      </c>
      <c r="T140" s="2">
        <f t="shared" si="37"/>
        <v>0</v>
      </c>
      <c r="U140">
        <v>5</v>
      </c>
      <c r="V140">
        <v>78</v>
      </c>
      <c r="W140" s="7">
        <f t="shared" si="38"/>
        <v>75.667042826822026</v>
      </c>
      <c r="X140" s="7">
        <f t="shared" si="39"/>
        <v>-2.3329571731779737</v>
      </c>
      <c r="Y140" s="2">
        <f t="shared" si="40"/>
        <v>3.0831879851805181E-2</v>
      </c>
      <c r="Z140" s="7"/>
      <c r="AA140" s="3">
        <f t="shared" si="41"/>
        <v>15.133408565364405</v>
      </c>
      <c r="AB140" s="3">
        <f t="shared" si="42"/>
        <v>1.9912379691268953</v>
      </c>
      <c r="AC140" s="2">
        <f t="shared" si="43"/>
        <v>0.39824759382537905</v>
      </c>
      <c r="AD140" s="2">
        <f t="shared" si="44"/>
        <v>-1.7524061746209351E-3</v>
      </c>
    </row>
    <row r="141" spans="1:30" x14ac:dyDescent="0.35">
      <c r="B141" t="s">
        <v>28</v>
      </c>
      <c r="C141" s="4" t="s">
        <v>83</v>
      </c>
      <c r="D141" s="4" t="s">
        <v>70</v>
      </c>
      <c r="E141">
        <v>28</v>
      </c>
      <c r="F141">
        <v>2006</v>
      </c>
      <c r="G141" s="7">
        <f t="shared" si="36"/>
        <v>71.642857142857139</v>
      </c>
      <c r="H141">
        <v>1</v>
      </c>
      <c r="I141">
        <v>2</v>
      </c>
      <c r="J141">
        <v>0</v>
      </c>
      <c r="K141">
        <v>28</v>
      </c>
      <c r="L141" s="7">
        <v>71.642857142857139</v>
      </c>
      <c r="M141" s="3">
        <v>1.1399999999999999</v>
      </c>
      <c r="N141" s="3">
        <v>1.1399999999999999</v>
      </c>
      <c r="O141" s="3">
        <v>1.31</v>
      </c>
      <c r="P141" s="2">
        <v>0.05</v>
      </c>
      <c r="Q141" s="2">
        <v>0.06</v>
      </c>
      <c r="R141" s="2">
        <v>0.47229316106643499</v>
      </c>
      <c r="S141" s="2">
        <v>0.11448</v>
      </c>
      <c r="T141" s="2">
        <f t="shared" si="37"/>
        <v>0</v>
      </c>
      <c r="U141">
        <v>5.5</v>
      </c>
      <c r="V141">
        <v>65</v>
      </c>
      <c r="W141" s="7">
        <f t="shared" si="38"/>
        <v>75.602990732082404</v>
      </c>
      <c r="X141" s="7">
        <f t="shared" si="39"/>
        <v>10.602990732082404</v>
      </c>
      <c r="Y141" s="2">
        <f t="shared" si="40"/>
        <v>0.14024565204909262</v>
      </c>
      <c r="Z141" s="7"/>
      <c r="AA141" s="3">
        <f t="shared" si="41"/>
        <v>13.745998314924073</v>
      </c>
      <c r="AB141" s="3">
        <f t="shared" si="42"/>
        <v>1.989552387686379</v>
      </c>
      <c r="AC141" s="2">
        <f t="shared" si="43"/>
        <v>0.3617367977611598</v>
      </c>
      <c r="AD141" s="2">
        <f t="shared" si="44"/>
        <v>-1.8995658752038206E-3</v>
      </c>
    </row>
    <row r="142" spans="1:30" x14ac:dyDescent="0.35">
      <c r="A142" t="s">
        <v>533</v>
      </c>
      <c r="B142" t="s">
        <v>534</v>
      </c>
      <c r="C142" s="4" t="s">
        <v>75</v>
      </c>
      <c r="D142" s="4" t="s">
        <v>70</v>
      </c>
      <c r="E142">
        <v>31</v>
      </c>
      <c r="F142">
        <v>2788</v>
      </c>
      <c r="G142" s="7">
        <f t="shared" si="36"/>
        <v>89.935483870967744</v>
      </c>
      <c r="H142">
        <v>1</v>
      </c>
      <c r="I142">
        <v>1</v>
      </c>
      <c r="J142">
        <v>0</v>
      </c>
      <c r="K142">
        <v>31</v>
      </c>
      <c r="L142" s="7">
        <v>89.935483870967744</v>
      </c>
      <c r="M142" s="3">
        <v>1.46</v>
      </c>
      <c r="N142" s="3">
        <v>1.46</v>
      </c>
      <c r="O142" s="3">
        <v>1.1499999999999999</v>
      </c>
      <c r="P142" s="2">
        <v>0.05</v>
      </c>
      <c r="Q142" s="2">
        <v>0.04</v>
      </c>
      <c r="R142" s="2">
        <v>0.20709621584771859</v>
      </c>
      <c r="S142" s="2">
        <v>0.17277999999999999</v>
      </c>
      <c r="T142" s="2">
        <f t="shared" si="37"/>
        <v>0</v>
      </c>
      <c r="U142">
        <v>5</v>
      </c>
      <c r="V142">
        <v>85</v>
      </c>
      <c r="W142" s="7">
        <f t="shared" si="38"/>
        <v>74.525580469057061</v>
      </c>
      <c r="X142" s="7">
        <f t="shared" si="39"/>
        <v>-10.474419530942939</v>
      </c>
      <c r="Y142" s="2">
        <f t="shared" si="40"/>
        <v>0.14054797648026246</v>
      </c>
      <c r="Z142" s="7"/>
      <c r="AA142" s="3">
        <f t="shared" si="41"/>
        <v>14.905116093811412</v>
      </c>
      <c r="AB142" s="3">
        <f t="shared" si="42"/>
        <v>1.9611994860278175</v>
      </c>
      <c r="AC142" s="2">
        <f t="shared" si="43"/>
        <v>0.39223989720556351</v>
      </c>
      <c r="AD142" s="2">
        <f t="shared" si="44"/>
        <v>-7.7601027944365075E-3</v>
      </c>
    </row>
    <row r="143" spans="1:30" x14ac:dyDescent="0.35">
      <c r="A143" t="s">
        <v>578</v>
      </c>
      <c r="B143" t="s">
        <v>373</v>
      </c>
      <c r="C143" s="4" t="s">
        <v>82</v>
      </c>
      <c r="D143" s="4" t="s">
        <v>70</v>
      </c>
      <c r="E143">
        <v>34</v>
      </c>
      <c r="F143">
        <v>2009</v>
      </c>
      <c r="G143" s="7">
        <f t="shared" si="36"/>
        <v>59.088235294117645</v>
      </c>
      <c r="H143">
        <v>4</v>
      </c>
      <c r="I143">
        <v>1</v>
      </c>
      <c r="J143">
        <v>10</v>
      </c>
      <c r="K143">
        <v>34</v>
      </c>
      <c r="L143" s="7">
        <v>59.088235294117645</v>
      </c>
      <c r="M143" s="3">
        <v>4.5599999999999996</v>
      </c>
      <c r="N143" s="3">
        <v>4.5599999999999996</v>
      </c>
      <c r="O143" s="3">
        <v>0.98</v>
      </c>
      <c r="P143" s="2">
        <v>0.2</v>
      </c>
      <c r="Q143" s="2">
        <v>0.04</v>
      </c>
      <c r="R143" s="2">
        <v>0.28400412610928571</v>
      </c>
      <c r="S143" s="2">
        <v>0.18656</v>
      </c>
      <c r="T143" s="2">
        <f t="shared" si="37"/>
        <v>0.29411764705882354</v>
      </c>
      <c r="U143">
        <v>5.5</v>
      </c>
      <c r="V143">
        <v>84</v>
      </c>
      <c r="W143" s="7">
        <f t="shared" si="38"/>
        <v>72.313989176604593</v>
      </c>
      <c r="X143" s="7">
        <f t="shared" si="39"/>
        <v>-11.686010823395407</v>
      </c>
      <c r="Y143" s="2">
        <f t="shared" si="40"/>
        <v>0.1616009703856322</v>
      </c>
      <c r="Z143" s="7"/>
      <c r="AA143" s="3">
        <f t="shared" si="41"/>
        <v>13.147998032109927</v>
      </c>
      <c r="AB143" s="3">
        <f t="shared" si="42"/>
        <v>1.9029997151738052</v>
      </c>
      <c r="AC143" s="2">
        <f t="shared" si="43"/>
        <v>0.34599994821341912</v>
      </c>
      <c r="AD143" s="2">
        <f t="shared" si="44"/>
        <v>-1.7636415422944515E-2</v>
      </c>
    </row>
    <row r="144" spans="1:30" x14ac:dyDescent="0.35">
      <c r="A144" t="s">
        <v>537</v>
      </c>
      <c r="B144" t="s">
        <v>538</v>
      </c>
      <c r="C144" s="4" t="s">
        <v>75</v>
      </c>
      <c r="D144" s="4" t="s">
        <v>69</v>
      </c>
      <c r="E144">
        <v>25</v>
      </c>
      <c r="F144">
        <v>2080</v>
      </c>
      <c r="G144" s="7">
        <f t="shared" si="36"/>
        <v>83.2</v>
      </c>
      <c r="H144">
        <v>1</v>
      </c>
      <c r="I144">
        <v>1</v>
      </c>
      <c r="J144">
        <v>0</v>
      </c>
      <c r="K144">
        <v>25</v>
      </c>
      <c r="L144" s="7">
        <v>83.2</v>
      </c>
      <c r="M144" s="3">
        <v>0.6</v>
      </c>
      <c r="N144" s="3">
        <v>0.6</v>
      </c>
      <c r="O144" s="3">
        <v>0.57999999999999996</v>
      </c>
      <c r="P144" s="2">
        <v>0.03</v>
      </c>
      <c r="Q144" s="2">
        <v>0.02</v>
      </c>
      <c r="R144" s="2">
        <v>0.20709621584771859</v>
      </c>
      <c r="S144" s="2">
        <v>0.16748249999999998</v>
      </c>
      <c r="T144" s="2">
        <f t="shared" si="37"/>
        <v>0</v>
      </c>
      <c r="U144">
        <v>4.5</v>
      </c>
      <c r="V144">
        <v>70</v>
      </c>
      <c r="W144" s="7">
        <f t="shared" si="38"/>
        <v>72.069225751438523</v>
      </c>
      <c r="X144" s="7">
        <f t="shared" si="39"/>
        <v>2.0692257514385233</v>
      </c>
      <c r="Y144" s="2">
        <f t="shared" si="40"/>
        <v>2.8711641201407258E-2</v>
      </c>
      <c r="Z144" s="7"/>
      <c r="AA144" s="3">
        <f t="shared" si="41"/>
        <v>16.015383500319672</v>
      </c>
      <c r="AB144" s="3">
        <f t="shared" si="42"/>
        <v>1.896558572406277</v>
      </c>
      <c r="AC144" s="2">
        <f t="shared" si="43"/>
        <v>0.42145746053472821</v>
      </c>
      <c r="AD144" s="2">
        <f t="shared" si="44"/>
        <v>-2.2986983909716222E-2</v>
      </c>
    </row>
    <row r="145" spans="1:30" x14ac:dyDescent="0.35">
      <c r="A145" t="s">
        <v>599</v>
      </c>
      <c r="B145" t="s">
        <v>248</v>
      </c>
      <c r="C145" s="4" t="s">
        <v>86</v>
      </c>
      <c r="D145" s="4" t="s">
        <v>69</v>
      </c>
      <c r="E145">
        <v>26</v>
      </c>
      <c r="F145">
        <v>1976</v>
      </c>
      <c r="G145" s="7">
        <f t="shared" si="36"/>
        <v>76</v>
      </c>
      <c r="H145">
        <v>0</v>
      </c>
      <c r="I145">
        <v>0</v>
      </c>
      <c r="J145">
        <v>0</v>
      </c>
      <c r="K145">
        <v>26</v>
      </c>
      <c r="L145" s="7">
        <v>76</v>
      </c>
      <c r="M145" s="3">
        <v>0.28000000000000003</v>
      </c>
      <c r="N145" s="3">
        <v>0.28000000000000003</v>
      </c>
      <c r="O145" s="3">
        <v>0.35</v>
      </c>
      <c r="P145" s="2">
        <v>0.01</v>
      </c>
      <c r="Q145" s="2">
        <v>0.02</v>
      </c>
      <c r="R145" s="2">
        <v>0.20741467510346001</v>
      </c>
      <c r="S145" s="2">
        <v>0.16542750000000001</v>
      </c>
      <c r="T145" s="2">
        <f t="shared" si="37"/>
        <v>0</v>
      </c>
      <c r="U145">
        <v>4.5</v>
      </c>
      <c r="V145">
        <v>67</v>
      </c>
      <c r="W145" s="7">
        <f t="shared" si="38"/>
        <v>71.904677877426508</v>
      </c>
      <c r="X145" s="7">
        <f t="shared" si="39"/>
        <v>4.9046778774265078</v>
      </c>
      <c r="Y145" s="2">
        <f t="shared" si="40"/>
        <v>6.8210831648357395E-2</v>
      </c>
      <c r="Z145" s="7"/>
      <c r="AA145" s="3">
        <f t="shared" si="41"/>
        <v>15.978817306094779</v>
      </c>
      <c r="AB145" s="3">
        <f t="shared" si="42"/>
        <v>1.8922283651954344</v>
      </c>
      <c r="AC145" s="2">
        <f t="shared" si="43"/>
        <v>0.42049519226565207</v>
      </c>
      <c r="AD145" s="2">
        <f t="shared" si="44"/>
        <v>-2.3949252178792364E-2</v>
      </c>
    </row>
    <row r="146" spans="1:30" x14ac:dyDescent="0.35">
      <c r="A146" t="s">
        <v>615</v>
      </c>
      <c r="B146" t="s">
        <v>262</v>
      </c>
      <c r="C146" s="4" t="s">
        <v>87</v>
      </c>
      <c r="D146" s="4" t="s">
        <v>69</v>
      </c>
      <c r="E146">
        <v>25</v>
      </c>
      <c r="F146">
        <v>2150</v>
      </c>
      <c r="G146" s="7">
        <f t="shared" si="36"/>
        <v>86</v>
      </c>
      <c r="H146">
        <v>0</v>
      </c>
      <c r="I146">
        <v>1</v>
      </c>
      <c r="J146">
        <v>0</v>
      </c>
      <c r="K146">
        <v>25</v>
      </c>
      <c r="L146" s="7">
        <v>86</v>
      </c>
      <c r="M146" s="3">
        <v>0.84</v>
      </c>
      <c r="N146" s="3">
        <v>0.84</v>
      </c>
      <c r="O146" s="3">
        <v>0.62</v>
      </c>
      <c r="P146" s="3">
        <v>0.04</v>
      </c>
      <c r="Q146" s="3">
        <v>0.03</v>
      </c>
      <c r="R146" s="2">
        <v>0.18161947538840026</v>
      </c>
      <c r="S146" s="2">
        <v>0.20858249999999998</v>
      </c>
      <c r="T146" s="2">
        <f t="shared" si="37"/>
        <v>0</v>
      </c>
      <c r="U146">
        <v>4.5</v>
      </c>
      <c r="V146">
        <v>49</v>
      </c>
      <c r="W146" s="7">
        <f t="shared" si="38"/>
        <v>70.830718372173365</v>
      </c>
      <c r="X146" s="7">
        <f t="shared" si="39"/>
        <v>21.830718372173365</v>
      </c>
      <c r="Y146" s="2">
        <f t="shared" si="40"/>
        <v>0.30820975522888111</v>
      </c>
      <c r="Z146" s="7"/>
      <c r="AA146" s="3">
        <f t="shared" si="41"/>
        <v>15.740159638260748</v>
      </c>
      <c r="AB146" s="3">
        <f t="shared" si="42"/>
        <v>1.8639662729519306</v>
      </c>
      <c r="AC146" s="2">
        <f t="shared" si="43"/>
        <v>0.41421472732265124</v>
      </c>
      <c r="AD146" s="2">
        <f t="shared" si="44"/>
        <v>-3.0229717121793193E-2</v>
      </c>
    </row>
    <row r="147" spans="1:30" x14ac:dyDescent="0.35">
      <c r="A147" t="s">
        <v>613</v>
      </c>
      <c r="B147" t="s">
        <v>614</v>
      </c>
      <c r="C147" s="4" t="s">
        <v>87</v>
      </c>
      <c r="D147" s="4" t="s">
        <v>70</v>
      </c>
      <c r="E147">
        <v>31</v>
      </c>
      <c r="F147">
        <v>2155</v>
      </c>
      <c r="G147" s="7">
        <f t="shared" si="36"/>
        <v>69.516129032258064</v>
      </c>
      <c r="H147">
        <v>1</v>
      </c>
      <c r="I147">
        <v>0</v>
      </c>
      <c r="J147">
        <v>0</v>
      </c>
      <c r="K147">
        <v>31</v>
      </c>
      <c r="L147" s="7">
        <v>69.516129032258064</v>
      </c>
      <c r="M147" s="3">
        <v>0.96</v>
      </c>
      <c r="N147" s="3">
        <v>0.96</v>
      </c>
      <c r="O147" s="3">
        <v>1.71</v>
      </c>
      <c r="P147" s="2">
        <v>0.04</v>
      </c>
      <c r="Q147" s="2">
        <v>7.0000000000000007E-2</v>
      </c>
      <c r="R147" s="2">
        <v>0.18161947538840026</v>
      </c>
      <c r="S147" s="2">
        <v>0.21517999999999998</v>
      </c>
      <c r="T147" s="2">
        <f t="shared" si="37"/>
        <v>0</v>
      </c>
      <c r="U147">
        <v>4.5</v>
      </c>
      <c r="V147">
        <v>55</v>
      </c>
      <c r="W147" s="7">
        <f t="shared" si="38"/>
        <v>70.776845959262616</v>
      </c>
      <c r="X147" s="7">
        <f t="shared" si="39"/>
        <v>15.776845959262616</v>
      </c>
      <c r="Y147" s="2">
        <f t="shared" si="40"/>
        <v>0.2229097064927614</v>
      </c>
      <c r="Z147" s="7"/>
      <c r="AA147" s="3">
        <f t="shared" si="41"/>
        <v>15.728187990947248</v>
      </c>
      <c r="AB147" s="3">
        <f t="shared" si="42"/>
        <v>1.8625485778753319</v>
      </c>
      <c r="AC147" s="2">
        <f t="shared" si="43"/>
        <v>0.41389968397229598</v>
      </c>
      <c r="AD147" s="2">
        <f t="shared" si="44"/>
        <v>-3.0544760472148467E-2</v>
      </c>
    </row>
    <row r="148" spans="1:30" x14ac:dyDescent="0.35">
      <c r="A148" t="s">
        <v>547</v>
      </c>
      <c r="B148" t="s">
        <v>228</v>
      </c>
      <c r="C148" s="4" t="s">
        <v>76</v>
      </c>
      <c r="D148" s="4" t="s">
        <v>69</v>
      </c>
      <c r="E148">
        <v>25</v>
      </c>
      <c r="F148">
        <v>2165</v>
      </c>
      <c r="G148" s="7">
        <f t="shared" si="36"/>
        <v>86.6</v>
      </c>
      <c r="H148">
        <v>0</v>
      </c>
      <c r="I148">
        <v>1</v>
      </c>
      <c r="J148">
        <v>0</v>
      </c>
      <c r="K148">
        <v>25</v>
      </c>
      <c r="L148" s="7">
        <v>86.6</v>
      </c>
      <c r="M148" s="3">
        <v>0.19</v>
      </c>
      <c r="N148" s="3">
        <v>0.19</v>
      </c>
      <c r="O148" s="3">
        <v>1.18</v>
      </c>
      <c r="P148" s="3">
        <v>0.01</v>
      </c>
      <c r="Q148" s="3">
        <v>0.05</v>
      </c>
      <c r="R148" s="2">
        <v>0.17795719394737325</v>
      </c>
      <c r="S148" s="2">
        <v>0.18392249999999999</v>
      </c>
      <c r="T148" s="2">
        <f t="shared" si="37"/>
        <v>0</v>
      </c>
      <c r="U148">
        <v>4.5</v>
      </c>
      <c r="V148">
        <v>45</v>
      </c>
      <c r="W148" s="7">
        <f t="shared" si="38"/>
        <v>68.249323561403997</v>
      </c>
      <c r="X148" s="7">
        <f t="shared" si="39"/>
        <v>23.249323561403997</v>
      </c>
      <c r="Y148" s="2">
        <f t="shared" si="40"/>
        <v>0.34065280574519619</v>
      </c>
      <c r="Z148" s="7"/>
      <c r="AA148" s="3">
        <f t="shared" si="41"/>
        <v>15.166516346978666</v>
      </c>
      <c r="AB148" s="3">
        <f t="shared" si="42"/>
        <v>1.7960348305632632</v>
      </c>
      <c r="AC148" s="2">
        <f t="shared" si="43"/>
        <v>0.39911885123628071</v>
      </c>
      <c r="AD148" s="2">
        <f t="shared" si="44"/>
        <v>-4.5325593208163734E-2</v>
      </c>
    </row>
    <row r="149" spans="1:30" x14ac:dyDescent="0.35">
      <c r="A149" t="s">
        <v>600</v>
      </c>
      <c r="B149" t="s">
        <v>412</v>
      </c>
      <c r="C149" s="4" t="s">
        <v>85</v>
      </c>
      <c r="D149" s="4" t="s">
        <v>70</v>
      </c>
      <c r="E149">
        <v>28</v>
      </c>
      <c r="F149">
        <v>2450</v>
      </c>
      <c r="G149" s="7">
        <f t="shared" si="36"/>
        <v>87.5</v>
      </c>
      <c r="H149">
        <v>1</v>
      </c>
      <c r="I149">
        <v>0</v>
      </c>
      <c r="J149">
        <v>0</v>
      </c>
      <c r="K149">
        <v>28</v>
      </c>
      <c r="L149" s="7">
        <v>87.5</v>
      </c>
      <c r="M149" s="3">
        <v>1.71</v>
      </c>
      <c r="N149" s="3">
        <v>1.71</v>
      </c>
      <c r="O149" s="3">
        <v>0.56000000000000005</v>
      </c>
      <c r="P149" s="2">
        <v>0.06</v>
      </c>
      <c r="Q149" s="2">
        <v>0.02</v>
      </c>
      <c r="R149" s="2">
        <v>0.31306353319569563</v>
      </c>
      <c r="S149" s="2">
        <v>0.22577999999999998</v>
      </c>
      <c r="T149" s="2">
        <f t="shared" si="37"/>
        <v>0</v>
      </c>
      <c r="U149">
        <v>5</v>
      </c>
      <c r="V149">
        <v>59</v>
      </c>
      <c r="W149" s="7">
        <f t="shared" si="38"/>
        <v>68.243938929479484</v>
      </c>
      <c r="X149" s="7">
        <f t="shared" si="39"/>
        <v>9.2439389294794836</v>
      </c>
      <c r="Y149" s="2">
        <f t="shared" si="40"/>
        <v>0.13545435791787744</v>
      </c>
      <c r="Z149" s="7"/>
      <c r="AA149" s="3">
        <f t="shared" si="41"/>
        <v>13.648787785895896</v>
      </c>
      <c r="AB149" s="3">
        <f t="shared" si="42"/>
        <v>1.7958931297231444</v>
      </c>
      <c r="AC149" s="2">
        <f t="shared" si="43"/>
        <v>0.3591786259446289</v>
      </c>
      <c r="AD149" s="2">
        <f t="shared" si="44"/>
        <v>-4.0821374055371118E-2</v>
      </c>
    </row>
    <row r="150" spans="1:30" x14ac:dyDescent="0.35">
      <c r="A150" t="s">
        <v>612</v>
      </c>
      <c r="B150" t="s">
        <v>404</v>
      </c>
      <c r="C150" s="4" t="s">
        <v>87</v>
      </c>
      <c r="D150" s="4" t="s">
        <v>70</v>
      </c>
      <c r="E150">
        <v>30</v>
      </c>
      <c r="F150">
        <v>2527</v>
      </c>
      <c r="G150" s="7">
        <f t="shared" si="36"/>
        <v>84.233333333333334</v>
      </c>
      <c r="H150">
        <v>2</v>
      </c>
      <c r="I150">
        <v>0</v>
      </c>
      <c r="J150">
        <v>0</v>
      </c>
      <c r="K150">
        <v>30</v>
      </c>
      <c r="L150" s="7">
        <v>84.233333333333334</v>
      </c>
      <c r="M150" s="3">
        <v>1.0900000000000001</v>
      </c>
      <c r="N150" s="3">
        <v>1.0900000000000001</v>
      </c>
      <c r="O150" s="3">
        <v>1.01</v>
      </c>
      <c r="P150" s="2">
        <v>0.04</v>
      </c>
      <c r="Q150" s="2">
        <v>0.04</v>
      </c>
      <c r="R150" s="2">
        <v>0.18161947538840026</v>
      </c>
      <c r="S150" s="2">
        <v>0.21517999999999998</v>
      </c>
      <c r="T150" s="2">
        <f t="shared" si="37"/>
        <v>0</v>
      </c>
      <c r="U150">
        <v>5</v>
      </c>
      <c r="V150">
        <v>75</v>
      </c>
      <c r="W150" s="7">
        <f t="shared" si="38"/>
        <v>67.978073150540894</v>
      </c>
      <c r="X150" s="7">
        <f t="shared" si="39"/>
        <v>-7.0219268494591063</v>
      </c>
      <c r="Y150" s="2">
        <f t="shared" si="40"/>
        <v>0.1032969386159077</v>
      </c>
      <c r="Z150" s="7"/>
      <c r="AA150" s="3">
        <f t="shared" si="41"/>
        <v>13.595614630108178</v>
      </c>
      <c r="AB150" s="3">
        <f t="shared" si="42"/>
        <v>1.7888966618563393</v>
      </c>
      <c r="AC150" s="2">
        <f t="shared" si="43"/>
        <v>0.35777933237126786</v>
      </c>
      <c r="AD150" s="2">
        <f t="shared" si="44"/>
        <v>-4.2220667628732132E-2</v>
      </c>
    </row>
    <row r="151" spans="1:30" x14ac:dyDescent="0.35">
      <c r="A151" t="s">
        <v>543</v>
      </c>
      <c r="B151" t="s">
        <v>398</v>
      </c>
      <c r="C151" s="4" t="s">
        <v>76</v>
      </c>
      <c r="D151" s="4" t="s">
        <v>70</v>
      </c>
      <c r="E151">
        <v>28</v>
      </c>
      <c r="F151">
        <v>1757</v>
      </c>
      <c r="G151" s="7">
        <f t="shared" si="36"/>
        <v>62.75</v>
      </c>
      <c r="H151">
        <v>0</v>
      </c>
      <c r="I151">
        <v>0</v>
      </c>
      <c r="J151">
        <v>0</v>
      </c>
      <c r="K151">
        <v>28</v>
      </c>
      <c r="L151" s="7">
        <v>62.75</v>
      </c>
      <c r="M151" s="3">
        <v>1.78</v>
      </c>
      <c r="N151" s="3">
        <v>1.78</v>
      </c>
      <c r="O151" s="3">
        <v>0.99</v>
      </c>
      <c r="P151" s="3">
        <v>0.09</v>
      </c>
      <c r="Q151" s="3">
        <v>0.05</v>
      </c>
      <c r="R151" s="2">
        <v>0.17795719394737325</v>
      </c>
      <c r="S151" s="2">
        <v>0.18973999999999999</v>
      </c>
      <c r="T151" s="2">
        <f t="shared" si="37"/>
        <v>0</v>
      </c>
      <c r="U151">
        <v>5</v>
      </c>
      <c r="V151">
        <v>43</v>
      </c>
      <c r="W151" s="7">
        <f t="shared" si="38"/>
        <v>67.38341476385979</v>
      </c>
      <c r="X151" s="7">
        <f t="shared" si="39"/>
        <v>24.38341476385979</v>
      </c>
      <c r="Y151" s="2">
        <f t="shared" si="40"/>
        <v>0.36186077611693723</v>
      </c>
      <c r="Z151" s="7"/>
      <c r="AA151" s="3">
        <f t="shared" si="41"/>
        <v>13.476682952771958</v>
      </c>
      <c r="AB151" s="3">
        <f t="shared" si="42"/>
        <v>1.7732477569436786</v>
      </c>
      <c r="AC151" s="2">
        <f t="shared" si="43"/>
        <v>0.35464955138873572</v>
      </c>
      <c r="AD151" s="2">
        <f t="shared" si="44"/>
        <v>-4.535044861126427E-2</v>
      </c>
    </row>
    <row r="152" spans="1:30" x14ac:dyDescent="0.35">
      <c r="A152" t="s">
        <v>542</v>
      </c>
      <c r="B152" t="s">
        <v>399</v>
      </c>
      <c r="C152" s="4" t="s">
        <v>76</v>
      </c>
      <c r="D152" s="4" t="s">
        <v>70</v>
      </c>
      <c r="E152">
        <v>30</v>
      </c>
      <c r="F152">
        <v>2554</v>
      </c>
      <c r="G152" s="7">
        <f t="shared" si="36"/>
        <v>85.13333333333334</v>
      </c>
      <c r="H152">
        <v>1</v>
      </c>
      <c r="I152">
        <v>1</v>
      </c>
      <c r="J152">
        <v>0</v>
      </c>
      <c r="K152">
        <v>30</v>
      </c>
      <c r="L152" s="7">
        <v>85.13333333333334</v>
      </c>
      <c r="M152" s="3">
        <v>0.95</v>
      </c>
      <c r="N152" s="3">
        <v>0.95</v>
      </c>
      <c r="O152" s="3">
        <v>1.22</v>
      </c>
      <c r="P152" s="2">
        <v>0.03</v>
      </c>
      <c r="Q152" s="2">
        <v>0.04</v>
      </c>
      <c r="R152" s="2">
        <v>0.17795719394737325</v>
      </c>
      <c r="S152" s="2">
        <v>0.18973999999999999</v>
      </c>
      <c r="T152" s="2">
        <f t="shared" si="37"/>
        <v>0</v>
      </c>
      <c r="U152">
        <v>5</v>
      </c>
      <c r="V152">
        <v>72</v>
      </c>
      <c r="W152" s="7">
        <f t="shared" si="38"/>
        <v>67.308515818421199</v>
      </c>
      <c r="X152" s="7">
        <f t="shared" si="39"/>
        <v>-4.6914841815788009</v>
      </c>
      <c r="Y152" s="2">
        <f t="shared" si="40"/>
        <v>6.9701197902432746E-2</v>
      </c>
      <c r="Z152" s="7"/>
      <c r="AA152" s="3">
        <f t="shared" si="41"/>
        <v>13.461703163684239</v>
      </c>
      <c r="AB152" s="3">
        <f t="shared" si="42"/>
        <v>1.7712767320637157</v>
      </c>
      <c r="AC152" s="2">
        <f t="shared" si="43"/>
        <v>0.35425534641274314</v>
      </c>
      <c r="AD152" s="2">
        <f t="shared" si="44"/>
        <v>-4.5744653587256857E-2</v>
      </c>
    </row>
    <row r="153" spans="1:30" x14ac:dyDescent="0.35">
      <c r="A153" t="s">
        <v>580</v>
      </c>
      <c r="B153" t="s">
        <v>156</v>
      </c>
      <c r="C153" s="4" t="s">
        <v>82</v>
      </c>
      <c r="D153" s="4" t="s">
        <v>70</v>
      </c>
      <c r="E153">
        <v>31</v>
      </c>
      <c r="F153">
        <v>2085</v>
      </c>
      <c r="G153" s="7">
        <f t="shared" si="36"/>
        <v>67.258064516129039</v>
      </c>
      <c r="H153">
        <v>0</v>
      </c>
      <c r="I153">
        <v>0</v>
      </c>
      <c r="J153">
        <v>0</v>
      </c>
      <c r="K153">
        <v>31</v>
      </c>
      <c r="L153" s="7">
        <v>67.258064516129039</v>
      </c>
      <c r="M153" s="3">
        <v>7.0000000000000007E-2</v>
      </c>
      <c r="N153" s="3">
        <v>7.0000000000000007E-2</v>
      </c>
      <c r="O153" s="3">
        <v>0.22</v>
      </c>
      <c r="P153" s="2">
        <v>0</v>
      </c>
      <c r="Q153" s="2">
        <v>0.01</v>
      </c>
      <c r="R153" s="2">
        <v>0.28400412610928571</v>
      </c>
      <c r="S153" s="2">
        <v>0.18656</v>
      </c>
      <c r="T153" s="2">
        <f t="shared" si="37"/>
        <v>0</v>
      </c>
      <c r="U153">
        <v>4.5</v>
      </c>
      <c r="V153">
        <v>58</v>
      </c>
      <c r="W153" s="7">
        <f t="shared" si="38"/>
        <v>65.71576790938785</v>
      </c>
      <c r="X153" s="7">
        <f t="shared" si="39"/>
        <v>7.71576790938785</v>
      </c>
      <c r="Y153" s="2">
        <f t="shared" si="40"/>
        <v>0.11741121126404142</v>
      </c>
      <c r="Z153" s="7"/>
      <c r="AA153" s="3">
        <f t="shared" si="41"/>
        <v>14.603503979863966</v>
      </c>
      <c r="AB153" s="3">
        <f t="shared" si="42"/>
        <v>1.7293623134049434</v>
      </c>
      <c r="AC153" s="2">
        <f t="shared" si="43"/>
        <v>0.38430273631220963</v>
      </c>
      <c r="AD153" s="2">
        <f t="shared" si="44"/>
        <v>-6.0141708132234802E-2</v>
      </c>
    </row>
    <row r="154" spans="1:30" x14ac:dyDescent="0.35">
      <c r="A154" t="s">
        <v>569</v>
      </c>
      <c r="B154" t="s">
        <v>411</v>
      </c>
      <c r="C154" s="4" t="s">
        <v>80</v>
      </c>
      <c r="D154" s="4" t="s">
        <v>70</v>
      </c>
      <c r="E154">
        <v>27</v>
      </c>
      <c r="F154">
        <v>2001</v>
      </c>
      <c r="G154" s="7">
        <f t="shared" si="36"/>
        <v>74.111111111111114</v>
      </c>
      <c r="H154">
        <v>1</v>
      </c>
      <c r="I154">
        <v>1</v>
      </c>
      <c r="J154">
        <v>0</v>
      </c>
      <c r="K154">
        <v>27</v>
      </c>
      <c r="L154" s="7">
        <v>74.111111111111114</v>
      </c>
      <c r="M154" s="3">
        <v>1.39</v>
      </c>
      <c r="N154" s="3">
        <v>1.39</v>
      </c>
      <c r="O154" s="3">
        <v>0.66</v>
      </c>
      <c r="P154" s="2">
        <v>0.06</v>
      </c>
      <c r="Q154" s="2">
        <v>0.03</v>
      </c>
      <c r="R154" s="2">
        <v>0.28798486680605417</v>
      </c>
      <c r="S154" s="2">
        <v>0.17595999999999998</v>
      </c>
      <c r="T154" s="2">
        <f t="shared" si="37"/>
        <v>0</v>
      </c>
      <c r="U154">
        <v>5.5</v>
      </c>
      <c r="V154">
        <v>64</v>
      </c>
      <c r="W154" s="7">
        <f t="shared" si="38"/>
        <v>65.69567140376347</v>
      </c>
      <c r="X154" s="7">
        <f t="shared" si="39"/>
        <v>1.6956714037634697</v>
      </c>
      <c r="Y154" s="2">
        <f t="shared" si="40"/>
        <v>2.5811006532560236E-2</v>
      </c>
      <c r="Z154" s="7"/>
      <c r="AA154" s="3">
        <f t="shared" si="41"/>
        <v>11.944667527956994</v>
      </c>
      <c r="AB154" s="3">
        <f t="shared" si="42"/>
        <v>1.7288334579937754</v>
      </c>
      <c r="AC154" s="2">
        <f t="shared" si="43"/>
        <v>0.31433335599886825</v>
      </c>
      <c r="AD154" s="2">
        <f t="shared" si="44"/>
        <v>-4.9303007637495379E-2</v>
      </c>
    </row>
    <row r="155" spans="1:30" x14ac:dyDescent="0.35">
      <c r="A155" t="s">
        <v>548</v>
      </c>
      <c r="B155" t="s">
        <v>263</v>
      </c>
      <c r="C155" s="4" t="s">
        <v>76</v>
      </c>
      <c r="D155" s="4" t="s">
        <v>70</v>
      </c>
      <c r="E155">
        <v>30</v>
      </c>
      <c r="F155">
        <v>2485</v>
      </c>
      <c r="G155" s="7">
        <f t="shared" si="36"/>
        <v>82.833333333333329</v>
      </c>
      <c r="H155">
        <v>1</v>
      </c>
      <c r="I155">
        <v>1</v>
      </c>
      <c r="J155">
        <v>0</v>
      </c>
      <c r="K155">
        <v>30</v>
      </c>
      <c r="L155" s="7">
        <v>82.833333333333329</v>
      </c>
      <c r="M155" s="3">
        <v>0.25</v>
      </c>
      <c r="N155" s="3">
        <v>0.25</v>
      </c>
      <c r="O155" s="3">
        <v>0.59</v>
      </c>
      <c r="P155" s="2">
        <v>0.01</v>
      </c>
      <c r="Q155" s="2">
        <v>0.02</v>
      </c>
      <c r="R155" s="2">
        <v>0.17795719394737325</v>
      </c>
      <c r="S155" s="2">
        <v>0.18973999999999999</v>
      </c>
      <c r="T155" s="2">
        <f t="shared" si="37"/>
        <v>0</v>
      </c>
      <c r="U155">
        <v>4.5</v>
      </c>
      <c r="V155">
        <v>65</v>
      </c>
      <c r="W155" s="7">
        <f t="shared" si="38"/>
        <v>62.683738040643419</v>
      </c>
      <c r="X155" s="7">
        <f t="shared" si="39"/>
        <v>-2.3162619593565807</v>
      </c>
      <c r="Y155" s="2">
        <f t="shared" si="40"/>
        <v>3.6951560831530866E-2</v>
      </c>
      <c r="Z155" s="7"/>
      <c r="AA155" s="3">
        <f t="shared" si="41"/>
        <v>13.929719564587426</v>
      </c>
      <c r="AB155" s="3">
        <f t="shared" si="42"/>
        <v>1.6495720537011427</v>
      </c>
      <c r="AC155" s="2">
        <f t="shared" si="43"/>
        <v>0.36657156748914282</v>
      </c>
      <c r="AD155" s="2">
        <f t="shared" si="44"/>
        <v>-7.7872876955301623E-2</v>
      </c>
    </row>
    <row r="156" spans="1:30" x14ac:dyDescent="0.35">
      <c r="A156" t="s">
        <v>606</v>
      </c>
      <c r="B156" t="s">
        <v>451</v>
      </c>
      <c r="C156" s="4" t="s">
        <v>86</v>
      </c>
      <c r="D156" s="4" t="s">
        <v>70</v>
      </c>
      <c r="E156">
        <v>25</v>
      </c>
      <c r="F156">
        <v>1865</v>
      </c>
      <c r="G156" s="7">
        <f t="shared" si="36"/>
        <v>74.599999999999994</v>
      </c>
      <c r="H156">
        <v>1</v>
      </c>
      <c r="I156">
        <v>4</v>
      </c>
      <c r="J156">
        <v>0</v>
      </c>
      <c r="K156">
        <v>25</v>
      </c>
      <c r="L156" s="7">
        <v>74.599999999999994</v>
      </c>
      <c r="M156" s="3">
        <v>0.86</v>
      </c>
      <c r="N156" s="3">
        <v>0.86</v>
      </c>
      <c r="O156" s="3">
        <v>2.4500000000000002</v>
      </c>
      <c r="P156" s="2">
        <v>0.04</v>
      </c>
      <c r="Q156" s="2">
        <v>0.12</v>
      </c>
      <c r="R156" s="2">
        <v>0.20741467510346001</v>
      </c>
      <c r="S156" s="2">
        <v>0.17066000000000001</v>
      </c>
      <c r="T156" s="2">
        <f t="shared" si="37"/>
        <v>0</v>
      </c>
      <c r="U156">
        <v>4.5</v>
      </c>
      <c r="V156">
        <v>69</v>
      </c>
      <c r="W156" s="7">
        <f t="shared" si="38"/>
        <v>62.523311322030949</v>
      </c>
      <c r="X156" s="7">
        <f t="shared" si="39"/>
        <v>-6.4766886779690509</v>
      </c>
      <c r="Y156" s="2">
        <f t="shared" si="40"/>
        <v>0.10358838233327704</v>
      </c>
      <c r="Z156" s="7"/>
      <c r="AA156" s="3">
        <f t="shared" si="41"/>
        <v>13.894069182673544</v>
      </c>
      <c r="AB156" s="3">
        <f t="shared" si="42"/>
        <v>1.6453502979481829</v>
      </c>
      <c r="AC156" s="2">
        <f t="shared" si="43"/>
        <v>0.36563339954404062</v>
      </c>
      <c r="AD156" s="2">
        <f t="shared" si="44"/>
        <v>-7.8811044900403804E-2</v>
      </c>
    </row>
    <row r="157" spans="1:30" x14ac:dyDescent="0.35">
      <c r="A157" t="s">
        <v>572</v>
      </c>
      <c r="B157" t="s">
        <v>489</v>
      </c>
      <c r="C157" s="4" t="s">
        <v>80</v>
      </c>
      <c r="D157" s="4" t="s">
        <v>72</v>
      </c>
      <c r="E157">
        <v>35</v>
      </c>
      <c r="F157">
        <v>1763</v>
      </c>
      <c r="G157" s="7">
        <f t="shared" si="36"/>
        <v>50.371428571428574</v>
      </c>
      <c r="H157">
        <v>6</v>
      </c>
      <c r="I157">
        <v>2</v>
      </c>
      <c r="J157">
        <v>0</v>
      </c>
      <c r="K157">
        <v>35</v>
      </c>
      <c r="L157" s="7">
        <v>50.371428571428574</v>
      </c>
      <c r="M157" s="3">
        <v>6.17</v>
      </c>
      <c r="N157" s="3">
        <v>6.17</v>
      </c>
      <c r="O157" s="3">
        <v>1.64</v>
      </c>
      <c r="P157" s="2">
        <v>0.32</v>
      </c>
      <c r="Q157" s="2">
        <v>0.08</v>
      </c>
      <c r="R157" s="2">
        <v>0.28798486680605417</v>
      </c>
      <c r="S157" s="2">
        <v>0.11868999999999999</v>
      </c>
      <c r="T157" s="2">
        <f t="shared" si="37"/>
        <v>0</v>
      </c>
      <c r="U157">
        <v>6</v>
      </c>
      <c r="V157">
        <v>92</v>
      </c>
      <c r="W157" s="7">
        <f t="shared" si="38"/>
        <v>60.620961111111114</v>
      </c>
      <c r="X157" s="7">
        <f t="shared" si="39"/>
        <v>-31.379038888888886</v>
      </c>
      <c r="Y157" s="2">
        <f t="shared" si="40"/>
        <v>0.51762687878495994</v>
      </c>
      <c r="Z157" s="7"/>
      <c r="AA157" s="3">
        <f t="shared" si="41"/>
        <v>10.103493518518519</v>
      </c>
      <c r="AB157" s="3">
        <f t="shared" si="42"/>
        <v>1.5952884502923979</v>
      </c>
      <c r="AC157" s="2">
        <f t="shared" si="43"/>
        <v>0.26588140838206631</v>
      </c>
      <c r="AD157" s="2">
        <f t="shared" si="44"/>
        <v>-6.745192495126702E-2</v>
      </c>
    </row>
    <row r="158" spans="1:30" x14ac:dyDescent="0.35">
      <c r="A158" t="s">
        <v>556</v>
      </c>
      <c r="B158" t="s">
        <v>390</v>
      </c>
      <c r="C158" s="4" t="s">
        <v>78</v>
      </c>
      <c r="D158" s="4" t="s">
        <v>70</v>
      </c>
      <c r="E158">
        <v>32</v>
      </c>
      <c r="F158">
        <v>1756</v>
      </c>
      <c r="G158" s="7">
        <f t="shared" si="36"/>
        <v>54.875</v>
      </c>
      <c r="H158">
        <v>0</v>
      </c>
      <c r="I158">
        <v>2</v>
      </c>
      <c r="J158">
        <v>0</v>
      </c>
      <c r="K158">
        <v>32</v>
      </c>
      <c r="L158" s="7">
        <v>54.875</v>
      </c>
      <c r="M158" s="3">
        <v>2.02</v>
      </c>
      <c r="N158" s="3">
        <v>2.02</v>
      </c>
      <c r="O158" s="3">
        <v>2.0099999999999998</v>
      </c>
      <c r="P158" s="2">
        <v>0.1</v>
      </c>
      <c r="Q158" s="2">
        <v>0.1</v>
      </c>
      <c r="R158" s="2">
        <v>0.40095828778034376</v>
      </c>
      <c r="S158" s="2">
        <v>0.17595999999999998</v>
      </c>
      <c r="T158" s="2">
        <f t="shared" si="37"/>
        <v>0</v>
      </c>
      <c r="U158">
        <v>5.5</v>
      </c>
      <c r="V158">
        <v>64</v>
      </c>
      <c r="W158" s="7">
        <f t="shared" si="38"/>
        <v>54.808834097859894</v>
      </c>
      <c r="X158" s="7">
        <f t="shared" si="39"/>
        <v>-9.1911659021401064</v>
      </c>
      <c r="Y158" s="2">
        <f t="shared" si="40"/>
        <v>0.16769497205011685</v>
      </c>
      <c r="Z158" s="7"/>
      <c r="AA158" s="3">
        <f t="shared" si="41"/>
        <v>9.9652425632472532</v>
      </c>
      <c r="AB158" s="3">
        <f t="shared" si="42"/>
        <v>1.4423377394173655</v>
      </c>
      <c r="AC158" s="2">
        <f t="shared" si="43"/>
        <v>0.26224322534861194</v>
      </c>
      <c r="AD158" s="2">
        <f t="shared" si="44"/>
        <v>-0.10139313828775172</v>
      </c>
    </row>
    <row r="159" spans="1:30" x14ac:dyDescent="0.35">
      <c r="B159" t="s">
        <v>68</v>
      </c>
      <c r="C159" s="4" t="s">
        <v>87</v>
      </c>
      <c r="D159" s="4" t="s">
        <v>69</v>
      </c>
      <c r="E159">
        <v>36</v>
      </c>
      <c r="G159" s="7"/>
      <c r="J159">
        <v>0</v>
      </c>
      <c r="K159">
        <v>36</v>
      </c>
      <c r="L159" s="7"/>
      <c r="R159" s="2">
        <v>0.18161947538840026</v>
      </c>
      <c r="S159" s="2">
        <v>0.20858249999999998</v>
      </c>
      <c r="T159" s="2">
        <f t="shared" si="37"/>
        <v>0</v>
      </c>
      <c r="U159">
        <v>5</v>
      </c>
      <c r="V159">
        <v>54</v>
      </c>
      <c r="W159" s="7">
        <f t="shared" si="38"/>
        <v>54.644234455929649</v>
      </c>
      <c r="X159" s="7">
        <f t="shared" si="39"/>
        <v>0.64423445592964868</v>
      </c>
      <c r="Y159" s="2">
        <f t="shared" si="40"/>
        <v>1.1789614445952595E-2</v>
      </c>
      <c r="Z159" s="7"/>
      <c r="AA159" s="3">
        <f t="shared" si="41"/>
        <v>10.92884689118593</v>
      </c>
      <c r="AB159" s="3">
        <f t="shared" si="42"/>
        <v>1.4380061698928854</v>
      </c>
      <c r="AC159" s="2">
        <f t="shared" si="43"/>
        <v>0.28760123397857706</v>
      </c>
      <c r="AD159" s="2">
        <f t="shared" si="44"/>
        <v>-0.11239876602142292</v>
      </c>
    </row>
    <row r="160" spans="1:30" x14ac:dyDescent="0.35">
      <c r="B160" t="s">
        <v>67</v>
      </c>
      <c r="C160" s="4" t="s">
        <v>87</v>
      </c>
      <c r="D160" s="4" t="s">
        <v>71</v>
      </c>
      <c r="E160">
        <v>28</v>
      </c>
      <c r="G160" s="7"/>
      <c r="J160">
        <v>0</v>
      </c>
      <c r="K160">
        <v>28</v>
      </c>
      <c r="R160" s="2">
        <v>0.18161947538840026</v>
      </c>
      <c r="S160" s="2">
        <v>4.4659999999999991E-2</v>
      </c>
      <c r="T160" s="2">
        <f t="shared" si="37"/>
        <v>0</v>
      </c>
      <c r="U160">
        <v>5</v>
      </c>
      <c r="V160">
        <v>47</v>
      </c>
      <c r="W160" s="7">
        <f t="shared" si="38"/>
        <v>47.090901243500838</v>
      </c>
      <c r="X160" s="7">
        <f t="shared" si="39"/>
        <v>9.0901243500837836E-2</v>
      </c>
      <c r="Y160" s="2">
        <f t="shared" si="40"/>
        <v>1.9303356083757986E-3</v>
      </c>
      <c r="Z160" s="7"/>
      <c r="AA160" s="3">
        <f t="shared" si="41"/>
        <v>9.4181802487001676</v>
      </c>
      <c r="AB160" s="3">
        <f t="shared" si="42"/>
        <v>1.2392342432500221</v>
      </c>
      <c r="AC160" s="2">
        <f t="shared" si="43"/>
        <v>0.24784684865000442</v>
      </c>
      <c r="AD160" s="2">
        <f t="shared" si="44"/>
        <v>-0.15215315134999557</v>
      </c>
    </row>
  </sheetData>
  <autoFilter ref="A1:AD160" xr:uid="{B186550A-EA3A-4AF3-BB39-E1B368B4F893}">
    <sortState ref="A4:AD159">
      <sortCondition descending="1" ref="W1:W160"/>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C1D04-50F1-4AB8-BAD3-8926F4F253D5}">
  <sheetPr codeName="Sheet3"/>
  <dimension ref="A1:Y21"/>
  <sheetViews>
    <sheetView zoomScale="80" zoomScaleNormal="80" workbookViewId="0">
      <selection activeCell="D1" sqref="D1:S1"/>
    </sheetView>
  </sheetViews>
  <sheetFormatPr defaultRowHeight="14.5" x14ac:dyDescent="0.35"/>
  <cols>
    <col min="2" max="2" width="11.26953125" customWidth="1"/>
    <col min="3" max="3" width="6.1796875" customWidth="1"/>
  </cols>
  <sheetData>
    <row r="1" spans="1:25" x14ac:dyDescent="0.35">
      <c r="A1" t="s">
        <v>0</v>
      </c>
      <c r="B1" t="s">
        <v>34</v>
      </c>
      <c r="C1" t="s">
        <v>656</v>
      </c>
      <c r="D1" t="s">
        <v>35</v>
      </c>
      <c r="E1" t="s">
        <v>36</v>
      </c>
      <c r="F1" t="s">
        <v>37</v>
      </c>
      <c r="G1" t="s">
        <v>38</v>
      </c>
      <c r="H1" t="s">
        <v>3</v>
      </c>
      <c r="I1" t="s">
        <v>39</v>
      </c>
      <c r="J1" t="s">
        <v>40</v>
      </c>
      <c r="K1" t="s">
        <v>652</v>
      </c>
      <c r="L1" t="s">
        <v>655</v>
      </c>
      <c r="M1" t="s">
        <v>5</v>
      </c>
      <c r="N1" t="s">
        <v>41</v>
      </c>
      <c r="O1" t="s">
        <v>63</v>
      </c>
      <c r="P1" t="s">
        <v>42</v>
      </c>
      <c r="Q1" t="s">
        <v>653</v>
      </c>
      <c r="R1" t="s">
        <v>64</v>
      </c>
      <c r="S1" t="s">
        <v>65</v>
      </c>
      <c r="V1" t="s">
        <v>709</v>
      </c>
    </row>
    <row r="2" spans="1:25" x14ac:dyDescent="0.35">
      <c r="A2">
        <v>1</v>
      </c>
      <c r="B2" t="s">
        <v>43</v>
      </c>
      <c r="C2" t="s">
        <v>84</v>
      </c>
      <c r="D2">
        <v>38</v>
      </c>
      <c r="E2">
        <v>32</v>
      </c>
      <c r="F2">
        <v>2</v>
      </c>
      <c r="G2">
        <v>4</v>
      </c>
      <c r="H2">
        <v>95</v>
      </c>
      <c r="I2">
        <v>23</v>
      </c>
      <c r="J2">
        <v>98</v>
      </c>
      <c r="K2">
        <v>21</v>
      </c>
      <c r="L2">
        <v>1.21</v>
      </c>
      <c r="M2">
        <v>93.72</v>
      </c>
      <c r="N2">
        <v>25.73</v>
      </c>
      <c r="O2">
        <f t="shared" ref="O2:O21" si="0">M2-N2</f>
        <v>67.989999999999995</v>
      </c>
      <c r="P2">
        <v>90.64</v>
      </c>
      <c r="Q2" s="3">
        <v>18.981814242428602</v>
      </c>
      <c r="R2" s="2">
        <f t="shared" ref="R2:R21" si="1">M2/D2</f>
        <v>2.466315789473684</v>
      </c>
      <c r="S2" s="2">
        <f t="shared" ref="S2:S21" si="2">I2/D2</f>
        <v>0.60526315789473684</v>
      </c>
      <c r="T2" s="8"/>
      <c r="U2" t="s">
        <v>71</v>
      </c>
      <c r="V2" s="6">
        <v>2.20949263502455E-2</v>
      </c>
      <c r="W2" s="1"/>
      <c r="X2" s="1"/>
      <c r="Y2" s="1"/>
    </row>
    <row r="3" spans="1:25" x14ac:dyDescent="0.35">
      <c r="A3">
        <v>2</v>
      </c>
      <c r="B3" t="s">
        <v>44</v>
      </c>
      <c r="C3" t="s">
        <v>83</v>
      </c>
      <c r="D3">
        <v>38</v>
      </c>
      <c r="E3">
        <v>30</v>
      </c>
      <c r="F3">
        <v>7</v>
      </c>
      <c r="G3">
        <v>1</v>
      </c>
      <c r="H3">
        <v>89</v>
      </c>
      <c r="I3">
        <v>22</v>
      </c>
      <c r="J3">
        <v>97</v>
      </c>
      <c r="K3">
        <v>20</v>
      </c>
      <c r="L3">
        <v>1.08</v>
      </c>
      <c r="M3">
        <v>79.459999999999994</v>
      </c>
      <c r="N3">
        <v>29.15</v>
      </c>
      <c r="O3">
        <f t="shared" si="0"/>
        <v>50.309999999999995</v>
      </c>
      <c r="P3">
        <v>83.45</v>
      </c>
      <c r="Q3" s="3">
        <v>17.947140120524502</v>
      </c>
      <c r="R3" s="2">
        <f t="shared" si="1"/>
        <v>2.0910526315789473</v>
      </c>
      <c r="S3" s="2">
        <f t="shared" si="2"/>
        <v>0.57894736842105265</v>
      </c>
      <c r="T3" s="8"/>
      <c r="U3" t="s">
        <v>69</v>
      </c>
      <c r="V3" s="6">
        <v>0.41080196399345337</v>
      </c>
      <c r="W3" s="1"/>
      <c r="X3" s="1"/>
      <c r="Y3" s="1"/>
    </row>
    <row r="4" spans="1:25" x14ac:dyDescent="0.35">
      <c r="A4">
        <v>3</v>
      </c>
      <c r="B4" t="s">
        <v>45</v>
      </c>
      <c r="C4" t="s">
        <v>78</v>
      </c>
      <c r="D4">
        <v>38</v>
      </c>
      <c r="E4">
        <v>21</v>
      </c>
      <c r="F4">
        <v>9</v>
      </c>
      <c r="G4">
        <v>8</v>
      </c>
      <c r="H4">
        <v>63</v>
      </c>
      <c r="I4">
        <v>39</v>
      </c>
      <c r="J4">
        <v>72</v>
      </c>
      <c r="K4">
        <v>16</v>
      </c>
      <c r="L4">
        <v>1.66</v>
      </c>
      <c r="M4">
        <v>63.97</v>
      </c>
      <c r="N4">
        <v>38.11</v>
      </c>
      <c r="O4">
        <f t="shared" si="0"/>
        <v>25.86</v>
      </c>
      <c r="P4">
        <v>71.45</v>
      </c>
      <c r="Q4" s="3">
        <v>15.236414935653062</v>
      </c>
      <c r="R4" s="2">
        <f t="shared" si="1"/>
        <v>1.6834210526315789</v>
      </c>
      <c r="S4" s="2">
        <f t="shared" si="2"/>
        <v>1.0263157894736843</v>
      </c>
      <c r="T4" s="8"/>
      <c r="U4" t="s">
        <v>70</v>
      </c>
      <c r="V4" s="6">
        <v>0.4238952536824877</v>
      </c>
      <c r="W4" s="1"/>
      <c r="X4" s="1"/>
      <c r="Y4" s="1"/>
    </row>
    <row r="5" spans="1:25" x14ac:dyDescent="0.35">
      <c r="A5">
        <v>7</v>
      </c>
      <c r="B5" t="s">
        <v>49</v>
      </c>
      <c r="C5" t="s">
        <v>91</v>
      </c>
      <c r="D5">
        <v>38</v>
      </c>
      <c r="E5">
        <v>16</v>
      </c>
      <c r="F5">
        <v>9</v>
      </c>
      <c r="G5">
        <v>13</v>
      </c>
      <c r="H5">
        <v>47</v>
      </c>
      <c r="I5">
        <v>46</v>
      </c>
      <c r="J5">
        <v>57</v>
      </c>
      <c r="K5">
        <v>9</v>
      </c>
      <c r="L5">
        <v>1.95</v>
      </c>
      <c r="M5">
        <v>53.06</v>
      </c>
      <c r="N5">
        <v>42.69</v>
      </c>
      <c r="O5">
        <f t="shared" si="0"/>
        <v>10.370000000000005</v>
      </c>
      <c r="P5">
        <v>59.91</v>
      </c>
      <c r="Q5" s="3">
        <v>13.85079871392189</v>
      </c>
      <c r="R5" s="2">
        <f t="shared" si="1"/>
        <v>1.3963157894736842</v>
      </c>
      <c r="S5" s="2">
        <f t="shared" si="2"/>
        <v>1.2105263157894737</v>
      </c>
      <c r="T5" s="8"/>
      <c r="U5" t="s">
        <v>72</v>
      </c>
      <c r="V5" s="6">
        <v>0.14320785597381341</v>
      </c>
      <c r="W5" s="1"/>
      <c r="X5" s="1"/>
      <c r="Y5" s="1"/>
    </row>
    <row r="6" spans="1:25" x14ac:dyDescent="0.35">
      <c r="A6">
        <v>9</v>
      </c>
      <c r="B6" t="s">
        <v>51</v>
      </c>
      <c r="C6" t="s">
        <v>82</v>
      </c>
      <c r="D6">
        <v>38</v>
      </c>
      <c r="E6">
        <v>15</v>
      </c>
      <c r="F6">
        <v>7</v>
      </c>
      <c r="G6">
        <v>16</v>
      </c>
      <c r="H6">
        <v>51</v>
      </c>
      <c r="I6">
        <v>48</v>
      </c>
      <c r="J6">
        <v>52</v>
      </c>
      <c r="K6">
        <v>10</v>
      </c>
      <c r="L6">
        <v>1.76</v>
      </c>
      <c r="M6">
        <v>52.11</v>
      </c>
      <c r="N6">
        <v>44.64</v>
      </c>
      <c r="O6">
        <f t="shared" si="0"/>
        <v>7.4699999999999989</v>
      </c>
      <c r="P6">
        <v>56.24</v>
      </c>
      <c r="Q6" s="3">
        <v>13.260852942660799</v>
      </c>
      <c r="R6" s="2">
        <f t="shared" si="1"/>
        <v>1.3713157894736843</v>
      </c>
      <c r="S6" s="2">
        <f t="shared" si="2"/>
        <v>1.263157894736842</v>
      </c>
      <c r="T6" s="8"/>
      <c r="W6" s="1"/>
      <c r="X6" s="1"/>
      <c r="Y6" s="1"/>
    </row>
    <row r="7" spans="1:25" x14ac:dyDescent="0.35">
      <c r="A7">
        <v>4</v>
      </c>
      <c r="B7" t="s">
        <v>46</v>
      </c>
      <c r="C7" t="s">
        <v>88</v>
      </c>
      <c r="D7">
        <v>38</v>
      </c>
      <c r="E7">
        <v>23</v>
      </c>
      <c r="F7">
        <v>2</v>
      </c>
      <c r="G7">
        <v>13</v>
      </c>
      <c r="H7">
        <v>67</v>
      </c>
      <c r="I7">
        <v>39</v>
      </c>
      <c r="J7">
        <v>71</v>
      </c>
      <c r="K7">
        <v>13</v>
      </c>
      <c r="L7">
        <v>1.63</v>
      </c>
      <c r="M7">
        <v>61.75</v>
      </c>
      <c r="N7">
        <v>49.15</v>
      </c>
      <c r="O7">
        <f t="shared" si="0"/>
        <v>12.600000000000001</v>
      </c>
      <c r="P7">
        <v>61.44</v>
      </c>
      <c r="Q7" s="3">
        <v>11.896414261436433</v>
      </c>
      <c r="R7" s="2">
        <f t="shared" si="1"/>
        <v>1.625</v>
      </c>
      <c r="S7" s="2">
        <f t="shared" si="2"/>
        <v>1.0263157894736843</v>
      </c>
      <c r="T7" s="8"/>
      <c r="W7" s="1"/>
      <c r="X7" s="1"/>
      <c r="Y7" s="1"/>
    </row>
    <row r="8" spans="1:25" x14ac:dyDescent="0.35">
      <c r="A8">
        <v>8</v>
      </c>
      <c r="B8" t="s">
        <v>50</v>
      </c>
      <c r="C8" t="s">
        <v>80</v>
      </c>
      <c r="D8">
        <v>38</v>
      </c>
      <c r="E8">
        <v>15</v>
      </c>
      <c r="F8">
        <v>9</v>
      </c>
      <c r="G8">
        <v>14</v>
      </c>
      <c r="H8">
        <v>54</v>
      </c>
      <c r="I8">
        <v>46</v>
      </c>
      <c r="J8">
        <v>54</v>
      </c>
      <c r="K8">
        <v>14</v>
      </c>
      <c r="L8">
        <v>1.66</v>
      </c>
      <c r="M8">
        <v>53.87</v>
      </c>
      <c r="N8">
        <v>49.31</v>
      </c>
      <c r="O8">
        <f t="shared" si="0"/>
        <v>4.5599999999999952</v>
      </c>
      <c r="P8">
        <v>55.54</v>
      </c>
      <c r="Q8" s="3">
        <v>11.848008454563729</v>
      </c>
      <c r="R8" s="2">
        <f t="shared" si="1"/>
        <v>1.4176315789473684</v>
      </c>
      <c r="S8" s="2">
        <f t="shared" si="2"/>
        <v>1.2105263157894737</v>
      </c>
      <c r="T8" s="8"/>
      <c r="W8" s="1"/>
      <c r="X8" s="1"/>
      <c r="Y8" s="1"/>
    </row>
    <row r="9" spans="1:25" x14ac:dyDescent="0.35">
      <c r="A9">
        <v>6</v>
      </c>
      <c r="B9" t="s">
        <v>48</v>
      </c>
      <c r="C9" t="s">
        <v>85</v>
      </c>
      <c r="D9">
        <v>38</v>
      </c>
      <c r="E9">
        <v>19</v>
      </c>
      <c r="F9">
        <v>9</v>
      </c>
      <c r="G9">
        <v>10</v>
      </c>
      <c r="H9">
        <v>65</v>
      </c>
      <c r="I9">
        <v>54</v>
      </c>
      <c r="J9">
        <v>66</v>
      </c>
      <c r="K9">
        <v>7</v>
      </c>
      <c r="L9">
        <v>2.13</v>
      </c>
      <c r="M9">
        <v>68.62</v>
      </c>
      <c r="N9">
        <v>52.3</v>
      </c>
      <c r="O9">
        <f t="shared" si="0"/>
        <v>16.320000000000007</v>
      </c>
      <c r="P9">
        <v>61.86</v>
      </c>
      <c r="Q9" s="3">
        <v>10.943424938630059</v>
      </c>
      <c r="R9" s="2">
        <f t="shared" si="1"/>
        <v>1.8057894736842106</v>
      </c>
      <c r="S9" s="2">
        <f t="shared" si="2"/>
        <v>1.4210526315789473</v>
      </c>
      <c r="T9" s="8"/>
      <c r="W9" s="1"/>
      <c r="X9" s="1"/>
      <c r="Y9" s="1"/>
    </row>
    <row r="10" spans="1:25" x14ac:dyDescent="0.35">
      <c r="A10">
        <v>12</v>
      </c>
      <c r="B10" t="s">
        <v>54</v>
      </c>
      <c r="C10" t="s">
        <v>79</v>
      </c>
      <c r="D10">
        <v>38</v>
      </c>
      <c r="E10">
        <v>14</v>
      </c>
      <c r="F10">
        <v>7</v>
      </c>
      <c r="G10">
        <v>17</v>
      </c>
      <c r="H10">
        <v>51</v>
      </c>
      <c r="I10">
        <v>53</v>
      </c>
      <c r="J10">
        <v>49</v>
      </c>
      <c r="K10">
        <v>12</v>
      </c>
      <c r="L10">
        <v>1.63</v>
      </c>
      <c r="M10">
        <v>50.64</v>
      </c>
      <c r="N10">
        <v>52.8</v>
      </c>
      <c r="O10">
        <f t="shared" si="0"/>
        <v>-2.1599999999999966</v>
      </c>
      <c r="P10">
        <v>51.93</v>
      </c>
      <c r="Q10" s="3">
        <v>10.792156792152857</v>
      </c>
      <c r="R10" s="2">
        <f t="shared" si="1"/>
        <v>1.3326315789473684</v>
      </c>
      <c r="S10" s="2">
        <f t="shared" si="2"/>
        <v>1.3947368421052631</v>
      </c>
      <c r="T10" s="8"/>
      <c r="W10" s="1"/>
      <c r="X10" s="1"/>
      <c r="Y10" s="1"/>
    </row>
    <row r="11" spans="1:25" x14ac:dyDescent="0.35">
      <c r="A11">
        <v>5</v>
      </c>
      <c r="B11" t="s">
        <v>47</v>
      </c>
      <c r="C11" t="s">
        <v>74</v>
      </c>
      <c r="D11">
        <v>38</v>
      </c>
      <c r="E11">
        <v>21</v>
      </c>
      <c r="F11">
        <v>7</v>
      </c>
      <c r="G11">
        <v>10</v>
      </c>
      <c r="H11">
        <v>73</v>
      </c>
      <c r="I11">
        <v>51</v>
      </c>
      <c r="J11">
        <v>70</v>
      </c>
      <c r="K11">
        <v>8</v>
      </c>
      <c r="L11">
        <v>2</v>
      </c>
      <c r="M11">
        <v>64.8</v>
      </c>
      <c r="N11">
        <v>57.3</v>
      </c>
      <c r="O11">
        <f t="shared" si="0"/>
        <v>7.5</v>
      </c>
      <c r="P11">
        <v>58.97</v>
      </c>
      <c r="Q11" s="3">
        <v>9.4307434738580369</v>
      </c>
      <c r="R11" s="2">
        <f t="shared" si="1"/>
        <v>1.7052631578947368</v>
      </c>
      <c r="S11" s="2">
        <f t="shared" si="2"/>
        <v>1.3421052631578947</v>
      </c>
      <c r="T11" s="8"/>
      <c r="W11" s="1"/>
      <c r="X11" s="1"/>
      <c r="Y11" s="1"/>
    </row>
    <row r="12" spans="1:25" x14ac:dyDescent="0.35">
      <c r="A12">
        <v>13</v>
      </c>
      <c r="B12" t="s">
        <v>55</v>
      </c>
      <c r="C12" t="s">
        <v>86</v>
      </c>
      <c r="D12">
        <v>38</v>
      </c>
      <c r="E12">
        <v>12</v>
      </c>
      <c r="F12">
        <v>9</v>
      </c>
      <c r="G12">
        <v>17</v>
      </c>
      <c r="H12">
        <v>42</v>
      </c>
      <c r="I12">
        <v>48</v>
      </c>
      <c r="J12">
        <v>45</v>
      </c>
      <c r="K12">
        <v>11</v>
      </c>
      <c r="L12">
        <v>1.61</v>
      </c>
      <c r="M12">
        <v>39.909999999999997</v>
      </c>
      <c r="N12">
        <v>57.55</v>
      </c>
      <c r="O12">
        <f t="shared" si="0"/>
        <v>-17.64</v>
      </c>
      <c r="P12">
        <v>39.22</v>
      </c>
      <c r="Q12" s="3">
        <v>9.3551094006194333</v>
      </c>
      <c r="R12" s="2">
        <f t="shared" si="1"/>
        <v>1.0502631578947368</v>
      </c>
      <c r="S12" s="2">
        <f t="shared" si="2"/>
        <v>1.263157894736842</v>
      </c>
      <c r="T12" s="8"/>
      <c r="W12" s="1"/>
      <c r="X12" s="1"/>
      <c r="Y12" s="1"/>
    </row>
    <row r="13" spans="1:25" x14ac:dyDescent="0.35">
      <c r="A13">
        <v>16</v>
      </c>
      <c r="B13" t="s">
        <v>58</v>
      </c>
      <c r="C13" t="s">
        <v>87</v>
      </c>
      <c r="D13">
        <v>38</v>
      </c>
      <c r="E13">
        <v>9</v>
      </c>
      <c r="F13">
        <v>12</v>
      </c>
      <c r="G13">
        <v>17</v>
      </c>
      <c r="H13">
        <v>45</v>
      </c>
      <c r="I13">
        <v>65</v>
      </c>
      <c r="J13">
        <v>39</v>
      </c>
      <c r="K13">
        <v>7</v>
      </c>
      <c r="L13">
        <v>2.0299999999999998</v>
      </c>
      <c r="M13">
        <v>49.67</v>
      </c>
      <c r="N13">
        <v>59.27</v>
      </c>
      <c r="O13">
        <f t="shared" si="0"/>
        <v>-9.6000000000000014</v>
      </c>
      <c r="P13">
        <v>45.11</v>
      </c>
      <c r="Q13" s="3">
        <v>8.8347469767378577</v>
      </c>
      <c r="R13" s="2">
        <f t="shared" si="1"/>
        <v>1.3071052631578948</v>
      </c>
      <c r="S13" s="2">
        <f t="shared" si="2"/>
        <v>1.7105263157894737</v>
      </c>
      <c r="T13" s="8"/>
      <c r="W13" s="1"/>
      <c r="X13" s="1"/>
      <c r="Y13" s="1"/>
    </row>
    <row r="14" spans="1:25" x14ac:dyDescent="0.35">
      <c r="A14">
        <v>14</v>
      </c>
      <c r="B14" t="s">
        <v>56</v>
      </c>
      <c r="C14" t="s">
        <v>75</v>
      </c>
      <c r="D14">
        <v>38</v>
      </c>
      <c r="E14">
        <v>13</v>
      </c>
      <c r="F14">
        <v>6</v>
      </c>
      <c r="G14">
        <v>19</v>
      </c>
      <c r="H14">
        <v>56</v>
      </c>
      <c r="I14">
        <v>70</v>
      </c>
      <c r="J14">
        <v>45</v>
      </c>
      <c r="K14">
        <v>10</v>
      </c>
      <c r="L14">
        <v>1.63</v>
      </c>
      <c r="M14">
        <v>58.81</v>
      </c>
      <c r="N14">
        <v>62.42</v>
      </c>
      <c r="O14">
        <f t="shared" si="0"/>
        <v>-3.6099999999999994</v>
      </c>
      <c r="P14">
        <v>51.49</v>
      </c>
      <c r="Q14" s="3">
        <v>7.88175765393148</v>
      </c>
      <c r="R14" s="2">
        <f t="shared" si="1"/>
        <v>1.5476315789473685</v>
      </c>
      <c r="S14" s="2">
        <f t="shared" si="2"/>
        <v>1.8421052631578947</v>
      </c>
      <c r="T14" s="8"/>
      <c r="W14" s="1"/>
      <c r="X14" s="1"/>
      <c r="Y14" s="1"/>
    </row>
    <row r="15" spans="1:25" x14ac:dyDescent="0.35">
      <c r="A15">
        <v>17</v>
      </c>
      <c r="B15" t="s">
        <v>59</v>
      </c>
      <c r="C15" t="s">
        <v>76</v>
      </c>
      <c r="D15">
        <v>38</v>
      </c>
      <c r="E15">
        <v>9</v>
      </c>
      <c r="F15">
        <v>9</v>
      </c>
      <c r="G15">
        <v>20</v>
      </c>
      <c r="H15">
        <v>35</v>
      </c>
      <c r="I15">
        <v>60</v>
      </c>
      <c r="J15">
        <v>36</v>
      </c>
      <c r="K15">
        <v>7</v>
      </c>
      <c r="L15">
        <v>1.79</v>
      </c>
      <c r="M15">
        <v>37.03</v>
      </c>
      <c r="N15">
        <v>62.46</v>
      </c>
      <c r="O15">
        <f t="shared" si="0"/>
        <v>-25.43</v>
      </c>
      <c r="P15">
        <v>36.19</v>
      </c>
      <c r="Q15" s="3">
        <v>7.8696562022133065</v>
      </c>
      <c r="R15" s="2">
        <f t="shared" si="1"/>
        <v>0.97447368421052638</v>
      </c>
      <c r="S15" s="2">
        <f t="shared" si="2"/>
        <v>1.5789473684210527</v>
      </c>
      <c r="T15" s="8"/>
      <c r="W15" s="1"/>
      <c r="X15" s="1"/>
      <c r="Y15" s="1"/>
    </row>
    <row r="16" spans="1:25" x14ac:dyDescent="0.35">
      <c r="A16">
        <v>11</v>
      </c>
      <c r="B16" t="s">
        <v>53</v>
      </c>
      <c r="C16" t="s">
        <v>89</v>
      </c>
      <c r="D16">
        <v>38</v>
      </c>
      <c r="E16">
        <v>14</v>
      </c>
      <c r="F16">
        <v>8</v>
      </c>
      <c r="G16">
        <v>16</v>
      </c>
      <c r="H16">
        <v>52</v>
      </c>
      <c r="I16">
        <v>59</v>
      </c>
      <c r="J16">
        <v>50</v>
      </c>
      <c r="K16">
        <v>7</v>
      </c>
      <c r="L16">
        <v>2.2400000000000002</v>
      </c>
      <c r="M16">
        <v>51.73</v>
      </c>
      <c r="N16">
        <v>63.29</v>
      </c>
      <c r="O16">
        <f t="shared" si="0"/>
        <v>-11.560000000000002</v>
      </c>
      <c r="P16">
        <v>46</v>
      </c>
      <c r="Q16" s="3">
        <v>7.6185510790611488</v>
      </c>
      <c r="R16" s="2">
        <f t="shared" si="1"/>
        <v>1.361315789473684</v>
      </c>
      <c r="S16" s="2">
        <f t="shared" si="2"/>
        <v>1.5526315789473684</v>
      </c>
      <c r="T16" s="8"/>
      <c r="W16" s="1"/>
      <c r="X16" s="1"/>
      <c r="Y16" s="1"/>
    </row>
    <row r="17" spans="1:25" x14ac:dyDescent="0.35">
      <c r="A17">
        <v>10</v>
      </c>
      <c r="B17" t="s">
        <v>52</v>
      </c>
      <c r="C17" t="s">
        <v>90</v>
      </c>
      <c r="D17">
        <v>38</v>
      </c>
      <c r="E17">
        <v>15</v>
      </c>
      <c r="F17">
        <v>7</v>
      </c>
      <c r="G17">
        <v>16</v>
      </c>
      <c r="H17">
        <v>52</v>
      </c>
      <c r="I17">
        <v>55</v>
      </c>
      <c r="J17">
        <v>52</v>
      </c>
      <c r="K17">
        <v>7</v>
      </c>
      <c r="L17">
        <v>1.61</v>
      </c>
      <c r="M17">
        <v>47.96</v>
      </c>
      <c r="N17">
        <v>65.66</v>
      </c>
      <c r="O17">
        <f t="shared" si="0"/>
        <v>-17.699999999999996</v>
      </c>
      <c r="P17">
        <v>43.72</v>
      </c>
      <c r="Q17" s="3">
        <v>6.9015400647592102</v>
      </c>
      <c r="R17" s="2">
        <f t="shared" si="1"/>
        <v>1.2621052631578948</v>
      </c>
      <c r="S17" s="2">
        <f t="shared" si="2"/>
        <v>1.4473684210526316</v>
      </c>
      <c r="T17" s="8"/>
      <c r="W17" s="1"/>
      <c r="X17" s="1"/>
      <c r="Y17" s="1"/>
    </row>
    <row r="18" spans="1:25" x14ac:dyDescent="0.35">
      <c r="A18">
        <v>15</v>
      </c>
      <c r="B18" t="s">
        <v>57</v>
      </c>
      <c r="C18" t="s">
        <v>77</v>
      </c>
      <c r="D18">
        <v>38</v>
      </c>
      <c r="E18">
        <v>11</v>
      </c>
      <c r="F18">
        <v>7</v>
      </c>
      <c r="G18">
        <v>20</v>
      </c>
      <c r="H18">
        <v>45</v>
      </c>
      <c r="I18">
        <v>68</v>
      </c>
      <c r="J18">
        <v>40</v>
      </c>
      <c r="K18">
        <v>8</v>
      </c>
      <c r="L18">
        <v>2.0299999999999998</v>
      </c>
      <c r="M18">
        <v>44.74</v>
      </c>
      <c r="N18">
        <v>66.12</v>
      </c>
      <c r="O18">
        <f t="shared" si="0"/>
        <v>-21.380000000000003</v>
      </c>
      <c r="P18">
        <v>42</v>
      </c>
      <c r="Q18" s="3">
        <v>6.7623733700001836</v>
      </c>
      <c r="R18" s="2">
        <f t="shared" si="1"/>
        <v>1.1773684210526316</v>
      </c>
      <c r="S18" s="2">
        <f t="shared" si="2"/>
        <v>1.7894736842105263</v>
      </c>
      <c r="T18" s="8"/>
      <c r="W18" s="1"/>
      <c r="X18" s="1"/>
      <c r="Y18" s="1"/>
    </row>
    <row r="19" spans="1:25" x14ac:dyDescent="0.35">
      <c r="A19">
        <v>18</v>
      </c>
      <c r="B19" t="s">
        <v>60</v>
      </c>
      <c r="C19" t="s">
        <v>657</v>
      </c>
      <c r="D19">
        <v>38</v>
      </c>
      <c r="E19">
        <v>10</v>
      </c>
      <c r="F19">
        <v>4</v>
      </c>
      <c r="G19">
        <v>24</v>
      </c>
      <c r="H19">
        <v>34</v>
      </c>
      <c r="I19">
        <v>69</v>
      </c>
      <c r="J19">
        <v>34</v>
      </c>
      <c r="K19">
        <v>10</v>
      </c>
      <c r="L19">
        <v>1.76</v>
      </c>
      <c r="M19">
        <v>41.77</v>
      </c>
      <c r="N19">
        <v>66.5</v>
      </c>
      <c r="O19">
        <f t="shared" si="0"/>
        <v>-24.729999999999997</v>
      </c>
      <c r="P19">
        <v>37.450000000000003</v>
      </c>
      <c r="Q19" s="3">
        <v>6.6474095786775109</v>
      </c>
      <c r="R19" s="2">
        <f t="shared" si="1"/>
        <v>1.0992105263157896</v>
      </c>
      <c r="S19" s="2">
        <f t="shared" si="2"/>
        <v>1.8157894736842106</v>
      </c>
      <c r="T19" s="8"/>
      <c r="W19" s="1"/>
      <c r="X19" s="1"/>
      <c r="Y19" s="1"/>
    </row>
    <row r="20" spans="1:25" x14ac:dyDescent="0.35">
      <c r="A20">
        <v>20</v>
      </c>
      <c r="B20" t="s">
        <v>62</v>
      </c>
      <c r="C20" t="s">
        <v>658</v>
      </c>
      <c r="D20">
        <v>38</v>
      </c>
      <c r="E20">
        <v>3</v>
      </c>
      <c r="F20">
        <v>7</v>
      </c>
      <c r="G20">
        <v>28</v>
      </c>
      <c r="H20">
        <v>22</v>
      </c>
      <c r="I20">
        <v>76</v>
      </c>
      <c r="J20">
        <v>16</v>
      </c>
      <c r="K20">
        <v>5</v>
      </c>
      <c r="L20">
        <v>1.66</v>
      </c>
      <c r="M20">
        <v>29</v>
      </c>
      <c r="N20">
        <v>67.19</v>
      </c>
      <c r="O20">
        <f t="shared" si="0"/>
        <v>-38.19</v>
      </c>
      <c r="P20">
        <v>29.61</v>
      </c>
      <c r="Q20" s="3">
        <v>6.4386595365389709</v>
      </c>
      <c r="R20" s="2">
        <f t="shared" si="1"/>
        <v>0.76315789473684215</v>
      </c>
      <c r="S20" s="2">
        <f t="shared" si="2"/>
        <v>2</v>
      </c>
      <c r="T20" s="8"/>
      <c r="W20" s="1"/>
      <c r="X20" s="1"/>
      <c r="Y20" s="1"/>
    </row>
    <row r="21" spans="1:25" x14ac:dyDescent="0.35">
      <c r="A21">
        <v>19</v>
      </c>
      <c r="B21" t="s">
        <v>61</v>
      </c>
      <c r="C21" t="s">
        <v>81</v>
      </c>
      <c r="D21">
        <v>38</v>
      </c>
      <c r="E21">
        <v>7</v>
      </c>
      <c r="F21">
        <v>5</v>
      </c>
      <c r="G21">
        <v>26</v>
      </c>
      <c r="H21">
        <v>34</v>
      </c>
      <c r="I21">
        <v>81</v>
      </c>
      <c r="J21">
        <v>26</v>
      </c>
      <c r="K21">
        <v>5</v>
      </c>
      <c r="L21">
        <v>1.89</v>
      </c>
      <c r="M21">
        <v>42.62</v>
      </c>
      <c r="N21">
        <v>73.59</v>
      </c>
      <c r="O21">
        <f t="shared" si="0"/>
        <v>-30.970000000000006</v>
      </c>
      <c r="P21">
        <v>33.6</v>
      </c>
      <c r="Q21" s="3">
        <v>4.5024272616307783</v>
      </c>
      <c r="R21" s="2">
        <f t="shared" si="1"/>
        <v>1.121578947368421</v>
      </c>
      <c r="S21" s="2">
        <f t="shared" si="2"/>
        <v>2.1315789473684212</v>
      </c>
      <c r="T21" s="9"/>
      <c r="W21" s="1"/>
      <c r="X21" s="1"/>
      <c r="Y21" s="1"/>
    </row>
  </sheetData>
  <autoFilter ref="A1:S1" xr:uid="{DEE88D39-F2BF-4B65-B0D0-DABA367089D4}">
    <sortState ref="A2:S21">
      <sortCondition descending="1" ref="Q1"/>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2F264-9657-49B7-A4CF-9DEB83812CC3}">
  <sheetPr codeName="Sheet4"/>
  <dimension ref="A1:E462"/>
  <sheetViews>
    <sheetView zoomScale="91" zoomScaleNormal="100" workbookViewId="0">
      <selection activeCell="H13" sqref="H13"/>
    </sheetView>
  </sheetViews>
  <sheetFormatPr defaultRowHeight="14.5" x14ac:dyDescent="0.35"/>
  <sheetData>
    <row r="1" spans="1:5" x14ac:dyDescent="0.35">
      <c r="A1" t="s">
        <v>1</v>
      </c>
      <c r="B1" t="s">
        <v>34</v>
      </c>
      <c r="C1" t="s">
        <v>66</v>
      </c>
      <c r="D1" t="s">
        <v>92</v>
      </c>
      <c r="E1" t="s">
        <v>93</v>
      </c>
    </row>
    <row r="2" spans="1:5" x14ac:dyDescent="0.35">
      <c r="A2" t="s">
        <v>255</v>
      </c>
      <c r="B2" t="s">
        <v>128</v>
      </c>
      <c r="C2" t="s">
        <v>69</v>
      </c>
      <c r="D2">
        <v>0</v>
      </c>
      <c r="E2">
        <v>4.5</v>
      </c>
    </row>
    <row r="3" spans="1:5" x14ac:dyDescent="0.35">
      <c r="A3" t="s">
        <v>479</v>
      </c>
      <c r="B3" t="s">
        <v>45</v>
      </c>
      <c r="C3" t="s">
        <v>72</v>
      </c>
      <c r="D3">
        <v>0</v>
      </c>
      <c r="E3">
        <v>7</v>
      </c>
    </row>
    <row r="4" spans="1:5" x14ac:dyDescent="0.35">
      <c r="A4" t="s">
        <v>25</v>
      </c>
      <c r="B4" t="s">
        <v>56</v>
      </c>
      <c r="C4" t="s">
        <v>69</v>
      </c>
      <c r="D4">
        <v>70</v>
      </c>
      <c r="E4">
        <v>4.5</v>
      </c>
    </row>
    <row r="5" spans="1:5" x14ac:dyDescent="0.35">
      <c r="A5" t="s">
        <v>496</v>
      </c>
      <c r="B5" t="s">
        <v>58</v>
      </c>
      <c r="C5" t="s">
        <v>72</v>
      </c>
      <c r="D5">
        <v>0</v>
      </c>
      <c r="E5">
        <v>6</v>
      </c>
    </row>
    <row r="6" spans="1:5" x14ac:dyDescent="0.35">
      <c r="A6" s="5" t="s">
        <v>465</v>
      </c>
      <c r="B6" s="5" t="s">
        <v>94</v>
      </c>
      <c r="C6" s="5" t="s">
        <v>72</v>
      </c>
      <c r="D6" s="5">
        <v>201</v>
      </c>
      <c r="E6" s="5">
        <v>12</v>
      </c>
    </row>
    <row r="7" spans="1:5" x14ac:dyDescent="0.35">
      <c r="A7" t="s">
        <v>191</v>
      </c>
      <c r="B7" t="s">
        <v>56</v>
      </c>
      <c r="C7" t="s">
        <v>69</v>
      </c>
      <c r="D7">
        <v>120</v>
      </c>
      <c r="E7">
        <v>5</v>
      </c>
    </row>
    <row r="8" spans="1:5" x14ac:dyDescent="0.35">
      <c r="A8" t="s">
        <v>372</v>
      </c>
      <c r="B8" t="s">
        <v>51</v>
      </c>
      <c r="C8" t="s">
        <v>70</v>
      </c>
      <c r="D8">
        <v>63</v>
      </c>
      <c r="E8">
        <v>5.5</v>
      </c>
    </row>
    <row r="9" spans="1:5" x14ac:dyDescent="0.35">
      <c r="A9" t="s">
        <v>183</v>
      </c>
      <c r="B9" t="s">
        <v>99</v>
      </c>
      <c r="C9" t="s">
        <v>69</v>
      </c>
      <c r="D9">
        <v>107</v>
      </c>
      <c r="E9">
        <v>5.5</v>
      </c>
    </row>
    <row r="10" spans="1:5" x14ac:dyDescent="0.35">
      <c r="A10" t="s">
        <v>147</v>
      </c>
      <c r="B10" t="s">
        <v>44</v>
      </c>
      <c r="C10" t="s">
        <v>69</v>
      </c>
      <c r="D10">
        <v>185</v>
      </c>
      <c r="E10">
        <v>7</v>
      </c>
    </row>
    <row r="11" spans="1:5" x14ac:dyDescent="0.35">
      <c r="A11" t="s">
        <v>31</v>
      </c>
      <c r="B11" t="s">
        <v>44</v>
      </c>
      <c r="C11" t="s">
        <v>71</v>
      </c>
      <c r="D11">
        <v>176</v>
      </c>
      <c r="E11">
        <v>6</v>
      </c>
    </row>
    <row r="12" spans="1:5" x14ac:dyDescent="0.35">
      <c r="A12" t="s">
        <v>309</v>
      </c>
      <c r="B12" t="s">
        <v>99</v>
      </c>
      <c r="C12" t="s">
        <v>70</v>
      </c>
      <c r="D12">
        <v>94</v>
      </c>
      <c r="E12">
        <v>8.5</v>
      </c>
    </row>
    <row r="13" spans="1:5" x14ac:dyDescent="0.35">
      <c r="A13" t="s">
        <v>349</v>
      </c>
      <c r="B13" t="s">
        <v>108</v>
      </c>
      <c r="C13" t="s">
        <v>70</v>
      </c>
      <c r="D13">
        <v>28</v>
      </c>
      <c r="E13">
        <v>6</v>
      </c>
    </row>
    <row r="14" spans="1:5" x14ac:dyDescent="0.35">
      <c r="A14" t="s">
        <v>148</v>
      </c>
      <c r="B14" t="s">
        <v>45</v>
      </c>
      <c r="C14" t="s">
        <v>69</v>
      </c>
      <c r="D14">
        <v>161</v>
      </c>
      <c r="E14">
        <v>6.5</v>
      </c>
    </row>
    <row r="15" spans="1:5" x14ac:dyDescent="0.35">
      <c r="A15" t="s">
        <v>446</v>
      </c>
      <c r="B15" t="s">
        <v>51</v>
      </c>
      <c r="C15" t="s">
        <v>70</v>
      </c>
      <c r="D15">
        <v>15</v>
      </c>
      <c r="E15">
        <v>4.5</v>
      </c>
    </row>
    <row r="16" spans="1:5" x14ac:dyDescent="0.35">
      <c r="A16" t="s">
        <v>457</v>
      </c>
      <c r="B16" t="s">
        <v>99</v>
      </c>
      <c r="C16" t="s">
        <v>70</v>
      </c>
      <c r="D16">
        <v>1</v>
      </c>
      <c r="E16">
        <v>4.5</v>
      </c>
    </row>
    <row r="17" spans="1:5" x14ac:dyDescent="0.35">
      <c r="A17" t="s">
        <v>443</v>
      </c>
      <c r="B17" t="s">
        <v>45</v>
      </c>
      <c r="C17" t="s">
        <v>70</v>
      </c>
      <c r="D17">
        <v>0</v>
      </c>
      <c r="E17">
        <v>4.5</v>
      </c>
    </row>
    <row r="18" spans="1:5" x14ac:dyDescent="0.35">
      <c r="A18" t="s">
        <v>507</v>
      </c>
      <c r="B18" t="s">
        <v>59</v>
      </c>
      <c r="C18" t="s">
        <v>72</v>
      </c>
      <c r="D18">
        <v>38</v>
      </c>
      <c r="E18">
        <v>5</v>
      </c>
    </row>
    <row r="19" spans="1:5" x14ac:dyDescent="0.35">
      <c r="A19" t="s">
        <v>27</v>
      </c>
      <c r="B19" t="s">
        <v>50</v>
      </c>
      <c r="C19" t="s">
        <v>70</v>
      </c>
      <c r="D19">
        <v>64</v>
      </c>
      <c r="E19">
        <v>5.5</v>
      </c>
    </row>
    <row r="20" spans="1:5" x14ac:dyDescent="0.35">
      <c r="A20" t="s">
        <v>219</v>
      </c>
      <c r="B20" t="s">
        <v>94</v>
      </c>
      <c r="C20" t="s">
        <v>69</v>
      </c>
      <c r="D20">
        <v>0</v>
      </c>
      <c r="E20">
        <v>5</v>
      </c>
    </row>
    <row r="21" spans="1:5" x14ac:dyDescent="0.35">
      <c r="A21" t="s">
        <v>319</v>
      </c>
      <c r="B21" t="s">
        <v>52</v>
      </c>
      <c r="C21" t="s">
        <v>70</v>
      </c>
      <c r="D21">
        <v>118</v>
      </c>
      <c r="E21">
        <v>7</v>
      </c>
    </row>
    <row r="22" spans="1:5" x14ac:dyDescent="0.35">
      <c r="A22" t="s">
        <v>384</v>
      </c>
      <c r="B22" t="s">
        <v>58</v>
      </c>
      <c r="C22" t="s">
        <v>70</v>
      </c>
      <c r="D22">
        <v>75</v>
      </c>
      <c r="E22">
        <v>5.5</v>
      </c>
    </row>
    <row r="23" spans="1:5" x14ac:dyDescent="0.35">
      <c r="A23" t="s">
        <v>478</v>
      </c>
      <c r="B23" t="s">
        <v>52</v>
      </c>
      <c r="C23" t="s">
        <v>72</v>
      </c>
      <c r="D23">
        <v>117</v>
      </c>
      <c r="E23">
        <v>7</v>
      </c>
    </row>
    <row r="24" spans="1:5" x14ac:dyDescent="0.35">
      <c r="A24" t="s">
        <v>380</v>
      </c>
      <c r="B24" t="s">
        <v>108</v>
      </c>
      <c r="C24" t="s">
        <v>70</v>
      </c>
      <c r="D24">
        <v>55</v>
      </c>
      <c r="E24">
        <v>5.5</v>
      </c>
    </row>
    <row r="25" spans="1:5" x14ac:dyDescent="0.35">
      <c r="A25" t="s">
        <v>466</v>
      </c>
      <c r="B25" t="s">
        <v>47</v>
      </c>
      <c r="C25" t="s">
        <v>72</v>
      </c>
      <c r="D25">
        <v>205</v>
      </c>
      <c r="E25">
        <v>11</v>
      </c>
    </row>
    <row r="26" spans="1:5" x14ac:dyDescent="0.35">
      <c r="A26" t="s">
        <v>210</v>
      </c>
      <c r="B26" t="s">
        <v>99</v>
      </c>
      <c r="C26" t="s">
        <v>69</v>
      </c>
      <c r="D26">
        <v>24</v>
      </c>
      <c r="E26">
        <v>5</v>
      </c>
    </row>
    <row r="27" spans="1:5" x14ac:dyDescent="0.35">
      <c r="A27" t="s">
        <v>492</v>
      </c>
      <c r="B27" t="s">
        <v>58</v>
      </c>
      <c r="C27" t="s">
        <v>72</v>
      </c>
      <c r="D27">
        <v>46</v>
      </c>
      <c r="E27">
        <v>6</v>
      </c>
    </row>
    <row r="28" spans="1:5" x14ac:dyDescent="0.35">
      <c r="A28" t="s">
        <v>152</v>
      </c>
      <c r="B28" t="s">
        <v>45</v>
      </c>
      <c r="C28" t="s">
        <v>69</v>
      </c>
      <c r="D28">
        <v>158</v>
      </c>
      <c r="E28">
        <v>6</v>
      </c>
    </row>
    <row r="29" spans="1:5" x14ac:dyDescent="0.35">
      <c r="A29" t="s">
        <v>201</v>
      </c>
      <c r="B29" t="s">
        <v>97</v>
      </c>
      <c r="C29" t="s">
        <v>69</v>
      </c>
      <c r="D29">
        <v>16</v>
      </c>
      <c r="E29">
        <v>5</v>
      </c>
    </row>
    <row r="30" spans="1:5" x14ac:dyDescent="0.35">
      <c r="A30" t="s">
        <v>197</v>
      </c>
      <c r="B30" t="s">
        <v>50</v>
      </c>
      <c r="C30" t="s">
        <v>69</v>
      </c>
      <c r="D30">
        <v>7</v>
      </c>
      <c r="E30">
        <v>5</v>
      </c>
    </row>
    <row r="31" spans="1:5" x14ac:dyDescent="0.35">
      <c r="A31" t="s">
        <v>276</v>
      </c>
      <c r="B31" t="s">
        <v>52</v>
      </c>
      <c r="C31" t="s">
        <v>69</v>
      </c>
      <c r="D31">
        <v>61</v>
      </c>
      <c r="E31">
        <v>4.5</v>
      </c>
    </row>
    <row r="32" spans="1:5" x14ac:dyDescent="0.35">
      <c r="A32" t="s">
        <v>260</v>
      </c>
      <c r="B32" t="s">
        <v>130</v>
      </c>
      <c r="C32" t="s">
        <v>69</v>
      </c>
      <c r="D32">
        <v>0</v>
      </c>
      <c r="E32">
        <v>4.5</v>
      </c>
    </row>
    <row r="33" spans="1:5" x14ac:dyDescent="0.35">
      <c r="A33" t="s">
        <v>230</v>
      </c>
      <c r="B33" t="s">
        <v>59</v>
      </c>
      <c r="C33" t="s">
        <v>69</v>
      </c>
      <c r="D33">
        <v>15</v>
      </c>
      <c r="E33">
        <v>4.5</v>
      </c>
    </row>
    <row r="34" spans="1:5" x14ac:dyDescent="0.35">
      <c r="A34" t="s">
        <v>239</v>
      </c>
      <c r="B34" t="s">
        <v>57</v>
      </c>
      <c r="C34" t="s">
        <v>69</v>
      </c>
      <c r="D34">
        <v>33</v>
      </c>
      <c r="E34">
        <v>4.5</v>
      </c>
    </row>
    <row r="35" spans="1:5" x14ac:dyDescent="0.35">
      <c r="A35" t="s">
        <v>343</v>
      </c>
      <c r="B35" t="s">
        <v>45</v>
      </c>
      <c r="C35" t="s">
        <v>70</v>
      </c>
      <c r="D35">
        <v>79</v>
      </c>
      <c r="E35">
        <v>6</v>
      </c>
    </row>
    <row r="36" spans="1:5" x14ac:dyDescent="0.35">
      <c r="A36" t="s">
        <v>345</v>
      </c>
      <c r="B36" t="s">
        <v>57</v>
      </c>
      <c r="C36" t="s">
        <v>72</v>
      </c>
      <c r="D36">
        <v>122</v>
      </c>
      <c r="E36">
        <v>6.5</v>
      </c>
    </row>
    <row r="37" spans="1:5" x14ac:dyDescent="0.35">
      <c r="A37" t="s">
        <v>345</v>
      </c>
      <c r="B37" t="s">
        <v>51</v>
      </c>
      <c r="C37" t="s">
        <v>70</v>
      </c>
      <c r="D37">
        <v>43</v>
      </c>
      <c r="E37">
        <v>6</v>
      </c>
    </row>
    <row r="38" spans="1:5" x14ac:dyDescent="0.35">
      <c r="A38" t="s">
        <v>279</v>
      </c>
      <c r="B38" t="s">
        <v>130</v>
      </c>
      <c r="C38" t="s">
        <v>69</v>
      </c>
      <c r="D38">
        <v>0</v>
      </c>
      <c r="E38">
        <v>4.5</v>
      </c>
    </row>
    <row r="39" spans="1:5" x14ac:dyDescent="0.35">
      <c r="A39" t="s">
        <v>480</v>
      </c>
      <c r="B39" t="s">
        <v>45</v>
      </c>
      <c r="C39" t="s">
        <v>72</v>
      </c>
      <c r="D39">
        <v>48</v>
      </c>
      <c r="E39">
        <v>7</v>
      </c>
    </row>
    <row r="40" spans="1:5" x14ac:dyDescent="0.35">
      <c r="A40" t="s">
        <v>262</v>
      </c>
      <c r="B40" t="s">
        <v>58</v>
      </c>
      <c r="C40" t="s">
        <v>69</v>
      </c>
      <c r="D40">
        <v>49</v>
      </c>
      <c r="E40">
        <v>4.5</v>
      </c>
    </row>
    <row r="41" spans="1:5" x14ac:dyDescent="0.35">
      <c r="A41" t="s">
        <v>116</v>
      </c>
      <c r="B41" t="s">
        <v>56</v>
      </c>
      <c r="C41" t="s">
        <v>71</v>
      </c>
      <c r="D41">
        <v>63</v>
      </c>
      <c r="E41">
        <v>4.5</v>
      </c>
    </row>
    <row r="42" spans="1:5" x14ac:dyDescent="0.35">
      <c r="A42" t="s">
        <v>159</v>
      </c>
      <c r="B42" t="s">
        <v>47</v>
      </c>
      <c r="C42" t="s">
        <v>69</v>
      </c>
      <c r="D42">
        <v>60</v>
      </c>
      <c r="E42">
        <v>5.5</v>
      </c>
    </row>
    <row r="43" spans="1:5" x14ac:dyDescent="0.35">
      <c r="A43" t="s">
        <v>215</v>
      </c>
      <c r="B43" t="s">
        <v>112</v>
      </c>
      <c r="C43" t="s">
        <v>69</v>
      </c>
      <c r="D43">
        <v>89</v>
      </c>
      <c r="E43">
        <v>5</v>
      </c>
    </row>
    <row r="44" spans="1:5" x14ac:dyDescent="0.35">
      <c r="A44" t="s">
        <v>487</v>
      </c>
      <c r="B44" t="s">
        <v>54</v>
      </c>
      <c r="C44" t="s">
        <v>72</v>
      </c>
      <c r="D44">
        <v>33</v>
      </c>
      <c r="E44">
        <v>6</v>
      </c>
    </row>
    <row r="45" spans="1:5" x14ac:dyDescent="0.35">
      <c r="A45" t="s">
        <v>30</v>
      </c>
      <c r="B45" t="s">
        <v>50</v>
      </c>
      <c r="C45" t="s">
        <v>70</v>
      </c>
      <c r="D45">
        <v>88</v>
      </c>
      <c r="E45">
        <v>6.5</v>
      </c>
    </row>
    <row r="46" spans="1:5" x14ac:dyDescent="0.35">
      <c r="A46" t="s">
        <v>229</v>
      </c>
      <c r="B46" t="s">
        <v>59</v>
      </c>
      <c r="C46" t="s">
        <v>69</v>
      </c>
      <c r="D46">
        <v>39</v>
      </c>
      <c r="E46">
        <v>4.5</v>
      </c>
    </row>
    <row r="47" spans="1:5" x14ac:dyDescent="0.35">
      <c r="A47" t="s">
        <v>20</v>
      </c>
      <c r="B47" t="s">
        <v>94</v>
      </c>
      <c r="C47" t="s">
        <v>70</v>
      </c>
      <c r="D47">
        <v>154</v>
      </c>
      <c r="E47">
        <v>8</v>
      </c>
    </row>
    <row r="48" spans="1:5" x14ac:dyDescent="0.35">
      <c r="A48" t="s">
        <v>208</v>
      </c>
      <c r="B48" t="s">
        <v>58</v>
      </c>
      <c r="C48" t="s">
        <v>69</v>
      </c>
      <c r="D48">
        <v>56</v>
      </c>
      <c r="E48">
        <v>5</v>
      </c>
    </row>
    <row r="49" spans="1:5" x14ac:dyDescent="0.35">
      <c r="A49" t="s">
        <v>398</v>
      </c>
      <c r="B49" t="s">
        <v>59</v>
      </c>
      <c r="C49" t="s">
        <v>70</v>
      </c>
      <c r="D49">
        <v>43</v>
      </c>
      <c r="E49">
        <v>5</v>
      </c>
    </row>
    <row r="50" spans="1:5" x14ac:dyDescent="0.35">
      <c r="A50" t="s">
        <v>438</v>
      </c>
      <c r="B50" t="s">
        <v>114</v>
      </c>
      <c r="C50" t="s">
        <v>70</v>
      </c>
      <c r="D50">
        <v>0</v>
      </c>
      <c r="E50">
        <v>4.5</v>
      </c>
    </row>
    <row r="51" spans="1:5" x14ac:dyDescent="0.35">
      <c r="A51" t="s">
        <v>216</v>
      </c>
      <c r="B51" t="s">
        <v>112</v>
      </c>
      <c r="C51" t="s">
        <v>69</v>
      </c>
      <c r="D51">
        <v>120</v>
      </c>
      <c r="E51">
        <v>5</v>
      </c>
    </row>
    <row r="52" spans="1:5" x14ac:dyDescent="0.35">
      <c r="A52" t="s">
        <v>231</v>
      </c>
      <c r="B52" t="s">
        <v>59</v>
      </c>
      <c r="C52" t="s">
        <v>69</v>
      </c>
      <c r="D52">
        <v>48</v>
      </c>
      <c r="E52">
        <v>4.5</v>
      </c>
    </row>
    <row r="53" spans="1:5" x14ac:dyDescent="0.35">
      <c r="A53" t="s">
        <v>117</v>
      </c>
      <c r="B53" t="s">
        <v>56</v>
      </c>
      <c r="C53" t="s">
        <v>71</v>
      </c>
      <c r="D53">
        <v>46</v>
      </c>
      <c r="E53">
        <v>4.5</v>
      </c>
    </row>
    <row r="54" spans="1:5" x14ac:dyDescent="0.35">
      <c r="A54" t="s">
        <v>364</v>
      </c>
      <c r="B54" t="s">
        <v>57</v>
      </c>
      <c r="C54" t="s">
        <v>70</v>
      </c>
      <c r="D54">
        <v>20</v>
      </c>
      <c r="E54">
        <v>5.5</v>
      </c>
    </row>
    <row r="55" spans="1:5" x14ac:dyDescent="0.35">
      <c r="A55" t="s">
        <v>104</v>
      </c>
      <c r="B55" t="s">
        <v>94</v>
      </c>
      <c r="C55" t="s">
        <v>71</v>
      </c>
      <c r="D55">
        <v>0</v>
      </c>
      <c r="E55">
        <v>5</v>
      </c>
    </row>
    <row r="56" spans="1:5" x14ac:dyDescent="0.35">
      <c r="A56" t="s">
        <v>519</v>
      </c>
      <c r="B56" t="s">
        <v>44</v>
      </c>
      <c r="C56" t="s">
        <v>72</v>
      </c>
      <c r="D56">
        <v>0</v>
      </c>
      <c r="E56">
        <v>4.5</v>
      </c>
    </row>
    <row r="57" spans="1:5" x14ac:dyDescent="0.35">
      <c r="A57" t="s">
        <v>321</v>
      </c>
      <c r="B57" t="s">
        <v>56</v>
      </c>
      <c r="C57" t="s">
        <v>70</v>
      </c>
      <c r="D57">
        <v>123</v>
      </c>
      <c r="E57">
        <v>6.5</v>
      </c>
    </row>
    <row r="58" spans="1:5" x14ac:dyDescent="0.35">
      <c r="A58" t="s">
        <v>350</v>
      </c>
      <c r="B58" t="s">
        <v>128</v>
      </c>
      <c r="C58" t="s">
        <v>70</v>
      </c>
      <c r="D58">
        <v>0</v>
      </c>
      <c r="E58">
        <v>6</v>
      </c>
    </row>
    <row r="59" spans="1:5" x14ac:dyDescent="0.35">
      <c r="A59" t="s">
        <v>141</v>
      </c>
      <c r="B59" t="s">
        <v>59</v>
      </c>
      <c r="C59" t="s">
        <v>71</v>
      </c>
      <c r="D59">
        <v>15</v>
      </c>
      <c r="E59">
        <v>4</v>
      </c>
    </row>
    <row r="60" spans="1:5" x14ac:dyDescent="0.35">
      <c r="A60" t="s">
        <v>285</v>
      </c>
      <c r="B60" t="s">
        <v>128</v>
      </c>
      <c r="C60" t="s">
        <v>69</v>
      </c>
      <c r="D60">
        <v>0</v>
      </c>
      <c r="E60">
        <v>4.5</v>
      </c>
    </row>
    <row r="61" spans="1:5" x14ac:dyDescent="0.35">
      <c r="A61" t="s">
        <v>101</v>
      </c>
      <c r="B61" t="s">
        <v>45</v>
      </c>
      <c r="C61" t="s">
        <v>71</v>
      </c>
      <c r="D61">
        <v>13</v>
      </c>
      <c r="E61">
        <v>5</v>
      </c>
    </row>
    <row r="62" spans="1:5" x14ac:dyDescent="0.35">
      <c r="A62" t="s">
        <v>489</v>
      </c>
      <c r="B62" t="s">
        <v>50</v>
      </c>
      <c r="C62" t="s">
        <v>72</v>
      </c>
      <c r="D62">
        <v>92</v>
      </c>
      <c r="E62">
        <v>6</v>
      </c>
    </row>
    <row r="63" spans="1:5" x14ac:dyDescent="0.35">
      <c r="A63" t="s">
        <v>448</v>
      </c>
      <c r="B63" t="s">
        <v>44</v>
      </c>
      <c r="C63" t="s">
        <v>70</v>
      </c>
      <c r="D63">
        <v>1</v>
      </c>
      <c r="E63">
        <v>4.5</v>
      </c>
    </row>
    <row r="64" spans="1:5" x14ac:dyDescent="0.35">
      <c r="A64" t="s">
        <v>452</v>
      </c>
      <c r="B64" t="s">
        <v>128</v>
      </c>
      <c r="C64" t="s">
        <v>70</v>
      </c>
      <c r="D64">
        <v>0</v>
      </c>
      <c r="E64">
        <v>4.5</v>
      </c>
    </row>
    <row r="65" spans="1:5" x14ac:dyDescent="0.35">
      <c r="A65" t="s">
        <v>426</v>
      </c>
      <c r="B65" t="s">
        <v>53</v>
      </c>
      <c r="C65" t="s">
        <v>70</v>
      </c>
      <c r="D65">
        <v>79</v>
      </c>
      <c r="E65">
        <v>5</v>
      </c>
    </row>
    <row r="66" spans="1:5" x14ac:dyDescent="0.35">
      <c r="A66" t="s">
        <v>461</v>
      </c>
      <c r="B66" t="s">
        <v>52</v>
      </c>
      <c r="C66" t="s">
        <v>70</v>
      </c>
      <c r="D66">
        <v>9</v>
      </c>
      <c r="E66">
        <v>4.5</v>
      </c>
    </row>
    <row r="67" spans="1:5" x14ac:dyDescent="0.35">
      <c r="A67" t="s">
        <v>269</v>
      </c>
      <c r="B67" t="s">
        <v>53</v>
      </c>
      <c r="C67" t="s">
        <v>69</v>
      </c>
      <c r="D67">
        <v>93</v>
      </c>
      <c r="E67">
        <v>4.5</v>
      </c>
    </row>
    <row r="68" spans="1:5" x14ac:dyDescent="0.35">
      <c r="A68" t="s">
        <v>433</v>
      </c>
      <c r="B68" t="s">
        <v>112</v>
      </c>
      <c r="C68" t="s">
        <v>70</v>
      </c>
      <c r="D68">
        <v>48</v>
      </c>
      <c r="E68">
        <v>5</v>
      </c>
    </row>
    <row r="69" spans="1:5" x14ac:dyDescent="0.35">
      <c r="A69" t="s">
        <v>459</v>
      </c>
      <c r="B69" t="s">
        <v>53</v>
      </c>
      <c r="C69" t="s">
        <v>70</v>
      </c>
      <c r="D69">
        <v>10</v>
      </c>
      <c r="E69">
        <v>4.5</v>
      </c>
    </row>
    <row r="70" spans="1:5" x14ac:dyDescent="0.35">
      <c r="A70" t="s">
        <v>324</v>
      </c>
      <c r="B70" t="s">
        <v>44</v>
      </c>
      <c r="C70" t="s">
        <v>70</v>
      </c>
      <c r="D70">
        <v>2</v>
      </c>
      <c r="E70">
        <v>6.5</v>
      </c>
    </row>
    <row r="71" spans="1:5" x14ac:dyDescent="0.35">
      <c r="A71" t="s">
        <v>225</v>
      </c>
      <c r="B71" t="s">
        <v>114</v>
      </c>
      <c r="C71" t="s">
        <v>69</v>
      </c>
      <c r="D71">
        <v>0</v>
      </c>
      <c r="E71">
        <v>4.5</v>
      </c>
    </row>
    <row r="72" spans="1:5" x14ac:dyDescent="0.35">
      <c r="A72" t="s">
        <v>494</v>
      </c>
      <c r="B72" t="s">
        <v>52</v>
      </c>
      <c r="C72" t="s">
        <v>72</v>
      </c>
      <c r="D72">
        <v>86</v>
      </c>
      <c r="E72">
        <v>6</v>
      </c>
    </row>
    <row r="73" spans="1:5" x14ac:dyDescent="0.35">
      <c r="A73" t="s">
        <v>168</v>
      </c>
      <c r="B73" t="s">
        <v>51</v>
      </c>
      <c r="C73" t="s">
        <v>69</v>
      </c>
      <c r="D73">
        <v>118</v>
      </c>
      <c r="E73">
        <v>5.5</v>
      </c>
    </row>
    <row r="74" spans="1:5" x14ac:dyDescent="0.35">
      <c r="A74" t="s">
        <v>449</v>
      </c>
      <c r="B74" t="s">
        <v>97</v>
      </c>
      <c r="C74" t="s">
        <v>70</v>
      </c>
      <c r="D74">
        <v>2</v>
      </c>
      <c r="E74">
        <v>4.5</v>
      </c>
    </row>
    <row r="75" spans="1:5" x14ac:dyDescent="0.35">
      <c r="A75" t="s">
        <v>447</v>
      </c>
      <c r="B75" t="s">
        <v>51</v>
      </c>
      <c r="C75" t="s">
        <v>70</v>
      </c>
      <c r="D75">
        <v>20</v>
      </c>
      <c r="E75">
        <v>4.5</v>
      </c>
    </row>
    <row r="76" spans="1:5" x14ac:dyDescent="0.35">
      <c r="A76" t="s">
        <v>194</v>
      </c>
      <c r="B76" t="s">
        <v>45</v>
      </c>
      <c r="C76" t="s">
        <v>69</v>
      </c>
      <c r="D76">
        <v>22</v>
      </c>
      <c r="E76">
        <v>5</v>
      </c>
    </row>
    <row r="77" spans="1:5" x14ac:dyDescent="0.35">
      <c r="A77" t="s">
        <v>252</v>
      </c>
      <c r="B77" t="s">
        <v>108</v>
      </c>
      <c r="C77" t="s">
        <v>69</v>
      </c>
      <c r="D77">
        <v>42</v>
      </c>
      <c r="E77">
        <v>4.5</v>
      </c>
    </row>
    <row r="78" spans="1:5" x14ac:dyDescent="0.35">
      <c r="A78" t="s">
        <v>233</v>
      </c>
      <c r="B78" t="s">
        <v>59</v>
      </c>
      <c r="C78" t="s">
        <v>69</v>
      </c>
      <c r="D78">
        <v>0</v>
      </c>
      <c r="E78">
        <v>4.5</v>
      </c>
    </row>
    <row r="79" spans="1:5" x14ac:dyDescent="0.35">
      <c r="A79" t="s">
        <v>424</v>
      </c>
      <c r="B79" t="s">
        <v>53</v>
      </c>
      <c r="C79" t="s">
        <v>70</v>
      </c>
      <c r="D79">
        <v>25</v>
      </c>
      <c r="E79">
        <v>5</v>
      </c>
    </row>
    <row r="80" spans="1:5" x14ac:dyDescent="0.35">
      <c r="A80" t="s">
        <v>214</v>
      </c>
      <c r="B80" t="s">
        <v>112</v>
      </c>
      <c r="C80" t="s">
        <v>69</v>
      </c>
      <c r="D80">
        <v>94</v>
      </c>
      <c r="E80">
        <v>5</v>
      </c>
    </row>
    <row r="81" spans="1:5" x14ac:dyDescent="0.35">
      <c r="A81" t="s">
        <v>166</v>
      </c>
      <c r="B81" t="s">
        <v>50</v>
      </c>
      <c r="C81" t="s">
        <v>69</v>
      </c>
      <c r="D81">
        <v>125</v>
      </c>
      <c r="E81">
        <v>5.5</v>
      </c>
    </row>
    <row r="82" spans="1:5" x14ac:dyDescent="0.35">
      <c r="A82" t="s">
        <v>405</v>
      </c>
      <c r="B82" t="s">
        <v>57</v>
      </c>
      <c r="C82" t="s">
        <v>70</v>
      </c>
      <c r="D82">
        <v>87</v>
      </c>
      <c r="E82">
        <v>5</v>
      </c>
    </row>
    <row r="83" spans="1:5" x14ac:dyDescent="0.35">
      <c r="A83" t="s">
        <v>432</v>
      </c>
      <c r="B83" t="s">
        <v>112</v>
      </c>
      <c r="C83" t="s">
        <v>70</v>
      </c>
      <c r="D83">
        <v>52</v>
      </c>
      <c r="E83">
        <v>5</v>
      </c>
    </row>
    <row r="84" spans="1:5" x14ac:dyDescent="0.35">
      <c r="A84" t="s">
        <v>213</v>
      </c>
      <c r="B84" t="s">
        <v>52</v>
      </c>
      <c r="C84" t="s">
        <v>69</v>
      </c>
      <c r="D84">
        <v>34</v>
      </c>
      <c r="E84">
        <v>5</v>
      </c>
    </row>
    <row r="85" spans="1:5" x14ac:dyDescent="0.35">
      <c r="A85" t="s">
        <v>134</v>
      </c>
      <c r="B85" t="s">
        <v>53</v>
      </c>
      <c r="C85" t="s">
        <v>71</v>
      </c>
      <c r="D85">
        <v>0</v>
      </c>
      <c r="E85">
        <v>4.5</v>
      </c>
    </row>
    <row r="86" spans="1:5" x14ac:dyDescent="0.35">
      <c r="A86" t="s">
        <v>202</v>
      </c>
      <c r="B86" t="s">
        <v>97</v>
      </c>
      <c r="C86" t="s">
        <v>69</v>
      </c>
      <c r="D86">
        <v>27</v>
      </c>
      <c r="E86">
        <v>5</v>
      </c>
    </row>
    <row r="87" spans="1:5" x14ac:dyDescent="0.35">
      <c r="A87" t="s">
        <v>234</v>
      </c>
      <c r="B87" t="s">
        <v>56</v>
      </c>
      <c r="C87" t="s">
        <v>69</v>
      </c>
      <c r="D87">
        <v>44</v>
      </c>
      <c r="E87">
        <v>4.5</v>
      </c>
    </row>
    <row r="88" spans="1:5" x14ac:dyDescent="0.35">
      <c r="A88" t="s">
        <v>199</v>
      </c>
      <c r="B88" t="s">
        <v>94</v>
      </c>
      <c r="C88" t="s">
        <v>69</v>
      </c>
      <c r="D88">
        <v>46</v>
      </c>
      <c r="E88">
        <v>5</v>
      </c>
    </row>
    <row r="89" spans="1:5" x14ac:dyDescent="0.35">
      <c r="A89" t="s">
        <v>242</v>
      </c>
      <c r="B89" t="s">
        <v>54</v>
      </c>
      <c r="C89" t="s">
        <v>69</v>
      </c>
      <c r="D89">
        <v>23</v>
      </c>
      <c r="E89">
        <v>4.5</v>
      </c>
    </row>
    <row r="90" spans="1:5" x14ac:dyDescent="0.35">
      <c r="A90" t="s">
        <v>126</v>
      </c>
      <c r="B90" t="s">
        <v>108</v>
      </c>
      <c r="C90" t="s">
        <v>71</v>
      </c>
      <c r="D90">
        <v>0</v>
      </c>
      <c r="E90">
        <v>4.5</v>
      </c>
    </row>
    <row r="91" spans="1:5" x14ac:dyDescent="0.35">
      <c r="A91" t="s">
        <v>203</v>
      </c>
      <c r="B91" t="s">
        <v>97</v>
      </c>
      <c r="C91" t="s">
        <v>69</v>
      </c>
      <c r="D91">
        <v>14</v>
      </c>
      <c r="E91">
        <v>5</v>
      </c>
    </row>
    <row r="92" spans="1:5" x14ac:dyDescent="0.35">
      <c r="A92" t="s">
        <v>21</v>
      </c>
      <c r="B92" t="s">
        <v>45</v>
      </c>
      <c r="C92" t="s">
        <v>69</v>
      </c>
      <c r="D92">
        <v>164</v>
      </c>
      <c r="E92">
        <v>6</v>
      </c>
    </row>
    <row r="93" spans="1:5" x14ac:dyDescent="0.35">
      <c r="A93" t="s">
        <v>10</v>
      </c>
      <c r="B93" t="s">
        <v>94</v>
      </c>
      <c r="C93" t="s">
        <v>70</v>
      </c>
      <c r="D93">
        <v>143</v>
      </c>
      <c r="E93">
        <v>7.5</v>
      </c>
    </row>
    <row r="94" spans="1:5" x14ac:dyDescent="0.35">
      <c r="A94" t="s">
        <v>181</v>
      </c>
      <c r="B94" t="s">
        <v>50</v>
      </c>
      <c r="C94" t="s">
        <v>70</v>
      </c>
      <c r="D94">
        <v>26</v>
      </c>
      <c r="E94">
        <v>5.5</v>
      </c>
    </row>
    <row r="95" spans="1:5" x14ac:dyDescent="0.35">
      <c r="A95" t="s">
        <v>181</v>
      </c>
      <c r="B95" t="s">
        <v>99</v>
      </c>
      <c r="C95" t="s">
        <v>69</v>
      </c>
      <c r="D95">
        <v>66</v>
      </c>
      <c r="E95">
        <v>5.5</v>
      </c>
    </row>
    <row r="96" spans="1:5" x14ac:dyDescent="0.35">
      <c r="A96" t="s">
        <v>439</v>
      </c>
      <c r="B96" t="s">
        <v>114</v>
      </c>
      <c r="C96" t="s">
        <v>70</v>
      </c>
      <c r="D96">
        <v>0</v>
      </c>
      <c r="E96">
        <v>4.5</v>
      </c>
    </row>
    <row r="97" spans="1:5" x14ac:dyDescent="0.35">
      <c r="A97" t="s">
        <v>218</v>
      </c>
      <c r="B97" t="s">
        <v>53</v>
      </c>
      <c r="C97" t="s">
        <v>69</v>
      </c>
      <c r="D97">
        <v>0</v>
      </c>
      <c r="E97">
        <v>5</v>
      </c>
    </row>
    <row r="98" spans="1:5" x14ac:dyDescent="0.35">
      <c r="A98" t="s">
        <v>303</v>
      </c>
      <c r="B98" t="s">
        <v>94</v>
      </c>
      <c r="C98" t="s">
        <v>70</v>
      </c>
      <c r="D98">
        <v>59</v>
      </c>
      <c r="E98">
        <v>9.5</v>
      </c>
    </row>
    <row r="99" spans="1:5" x14ac:dyDescent="0.35">
      <c r="A99" t="s">
        <v>96</v>
      </c>
      <c r="B99" t="s">
        <v>97</v>
      </c>
      <c r="C99" t="s">
        <v>71</v>
      </c>
      <c r="D99">
        <v>120</v>
      </c>
      <c r="E99">
        <v>5.5</v>
      </c>
    </row>
    <row r="100" spans="1:5" x14ac:dyDescent="0.35">
      <c r="A100" t="s">
        <v>484</v>
      </c>
      <c r="B100" t="s">
        <v>53</v>
      </c>
      <c r="C100" t="s">
        <v>72</v>
      </c>
      <c r="D100">
        <v>116</v>
      </c>
      <c r="E100">
        <v>6.5</v>
      </c>
    </row>
    <row r="101" spans="1:5" x14ac:dyDescent="0.35">
      <c r="A101" t="s">
        <v>365</v>
      </c>
      <c r="B101" t="s">
        <v>57</v>
      </c>
      <c r="C101" t="s">
        <v>70</v>
      </c>
      <c r="D101">
        <v>10</v>
      </c>
      <c r="E101">
        <v>5.5</v>
      </c>
    </row>
    <row r="102" spans="1:5" x14ac:dyDescent="0.35">
      <c r="A102" t="s">
        <v>172</v>
      </c>
      <c r="B102" t="s">
        <v>50</v>
      </c>
      <c r="C102" t="s">
        <v>69</v>
      </c>
      <c r="D102">
        <v>29</v>
      </c>
      <c r="E102">
        <v>5.5</v>
      </c>
    </row>
    <row r="103" spans="1:5" x14ac:dyDescent="0.35">
      <c r="A103" s="5" t="s">
        <v>464</v>
      </c>
      <c r="B103" s="5" t="s">
        <v>112</v>
      </c>
      <c r="C103" s="5" t="s">
        <v>70</v>
      </c>
      <c r="D103" s="5">
        <v>48</v>
      </c>
      <c r="E103" s="5">
        <v>4.5</v>
      </c>
    </row>
    <row r="104" spans="1:5" x14ac:dyDescent="0.35">
      <c r="A104" t="s">
        <v>485</v>
      </c>
      <c r="B104" t="s">
        <v>53</v>
      </c>
      <c r="C104" t="s">
        <v>72</v>
      </c>
      <c r="D104">
        <v>133</v>
      </c>
      <c r="E104">
        <v>6.5</v>
      </c>
    </row>
    <row r="105" spans="1:5" x14ac:dyDescent="0.35">
      <c r="A105" t="s">
        <v>462</v>
      </c>
      <c r="B105" t="s">
        <v>52</v>
      </c>
      <c r="C105" t="s">
        <v>70</v>
      </c>
      <c r="D105">
        <v>25</v>
      </c>
      <c r="E105">
        <v>4.5</v>
      </c>
    </row>
    <row r="106" spans="1:5" x14ac:dyDescent="0.35">
      <c r="A106" t="s">
        <v>423</v>
      </c>
      <c r="B106" t="s">
        <v>99</v>
      </c>
      <c r="C106" t="s">
        <v>70</v>
      </c>
      <c r="D106">
        <v>56</v>
      </c>
      <c r="E106">
        <v>5</v>
      </c>
    </row>
    <row r="107" spans="1:5" x14ac:dyDescent="0.35">
      <c r="A107" t="s">
        <v>153</v>
      </c>
      <c r="B107" t="s">
        <v>50</v>
      </c>
      <c r="C107" t="s">
        <v>69</v>
      </c>
      <c r="D107">
        <v>158</v>
      </c>
      <c r="E107">
        <v>6</v>
      </c>
    </row>
    <row r="108" spans="1:5" x14ac:dyDescent="0.35">
      <c r="A108" t="s">
        <v>275</v>
      </c>
      <c r="B108" t="s">
        <v>52</v>
      </c>
      <c r="C108" t="s">
        <v>69</v>
      </c>
      <c r="D108">
        <v>87</v>
      </c>
      <c r="E108">
        <v>4.5</v>
      </c>
    </row>
    <row r="109" spans="1:5" x14ac:dyDescent="0.35">
      <c r="A109" t="s">
        <v>392</v>
      </c>
      <c r="B109" t="s">
        <v>58</v>
      </c>
      <c r="C109" t="s">
        <v>70</v>
      </c>
      <c r="D109">
        <v>0</v>
      </c>
      <c r="E109">
        <v>5.5</v>
      </c>
    </row>
    <row r="110" spans="1:5" x14ac:dyDescent="0.35">
      <c r="A110" t="s">
        <v>157</v>
      </c>
      <c r="B110" t="s">
        <v>112</v>
      </c>
      <c r="C110" t="s">
        <v>69</v>
      </c>
      <c r="D110">
        <v>144</v>
      </c>
      <c r="E110">
        <v>6</v>
      </c>
    </row>
    <row r="111" spans="1:5" x14ac:dyDescent="0.35">
      <c r="A111" t="s">
        <v>353</v>
      </c>
      <c r="B111" t="s">
        <v>53</v>
      </c>
      <c r="C111" t="s">
        <v>70</v>
      </c>
      <c r="D111">
        <v>124</v>
      </c>
      <c r="E111">
        <v>6</v>
      </c>
    </row>
    <row r="112" spans="1:5" x14ac:dyDescent="0.35">
      <c r="A112" t="s">
        <v>444</v>
      </c>
      <c r="B112" t="s">
        <v>54</v>
      </c>
      <c r="C112" t="s">
        <v>70</v>
      </c>
      <c r="D112">
        <v>1</v>
      </c>
      <c r="E112">
        <v>4.5</v>
      </c>
    </row>
    <row r="113" spans="1:5" x14ac:dyDescent="0.35">
      <c r="A113" t="s">
        <v>442</v>
      </c>
      <c r="B113" t="s">
        <v>45</v>
      </c>
      <c r="C113" t="s">
        <v>70</v>
      </c>
      <c r="D113">
        <v>0</v>
      </c>
      <c r="E113">
        <v>4.5</v>
      </c>
    </row>
    <row r="114" spans="1:5" x14ac:dyDescent="0.35">
      <c r="A114" t="s">
        <v>506</v>
      </c>
      <c r="B114" t="s">
        <v>128</v>
      </c>
      <c r="C114" t="s">
        <v>72</v>
      </c>
      <c r="D114">
        <v>0</v>
      </c>
      <c r="E114">
        <v>5.5</v>
      </c>
    </row>
    <row r="115" spans="1:5" x14ac:dyDescent="0.35">
      <c r="A115" t="s">
        <v>107</v>
      </c>
      <c r="B115" t="s">
        <v>108</v>
      </c>
      <c r="C115" t="s">
        <v>71</v>
      </c>
      <c r="D115">
        <v>131</v>
      </c>
      <c r="E115">
        <v>5</v>
      </c>
    </row>
    <row r="116" spans="1:5" x14ac:dyDescent="0.35">
      <c r="A116" t="s">
        <v>190</v>
      </c>
      <c r="B116" t="s">
        <v>130</v>
      </c>
      <c r="C116" t="s">
        <v>70</v>
      </c>
      <c r="D116">
        <v>0</v>
      </c>
      <c r="E116">
        <v>5.5</v>
      </c>
    </row>
    <row r="117" spans="1:5" x14ac:dyDescent="0.35">
      <c r="A117" t="s">
        <v>190</v>
      </c>
      <c r="B117" t="s">
        <v>59</v>
      </c>
      <c r="C117" t="s">
        <v>69</v>
      </c>
      <c r="D117">
        <v>115</v>
      </c>
      <c r="E117">
        <v>5</v>
      </c>
    </row>
    <row r="118" spans="1:5" x14ac:dyDescent="0.35">
      <c r="A118" t="s">
        <v>248</v>
      </c>
      <c r="B118" t="s">
        <v>108</v>
      </c>
      <c r="C118" t="s">
        <v>69</v>
      </c>
      <c r="D118">
        <v>67</v>
      </c>
      <c r="E118">
        <v>4.5</v>
      </c>
    </row>
    <row r="119" spans="1:5" x14ac:dyDescent="0.35">
      <c r="A119" t="s">
        <v>232</v>
      </c>
      <c r="B119" t="s">
        <v>59</v>
      </c>
      <c r="C119" t="s">
        <v>69</v>
      </c>
      <c r="D119">
        <v>91</v>
      </c>
      <c r="E119">
        <v>4.5</v>
      </c>
    </row>
    <row r="120" spans="1:5" x14ac:dyDescent="0.35">
      <c r="A120" t="s">
        <v>129</v>
      </c>
      <c r="B120" t="s">
        <v>130</v>
      </c>
      <c r="C120" t="s">
        <v>71</v>
      </c>
      <c r="D120">
        <v>0</v>
      </c>
      <c r="E120">
        <v>4.5</v>
      </c>
    </row>
    <row r="121" spans="1:5" x14ac:dyDescent="0.35">
      <c r="A121" t="s">
        <v>33</v>
      </c>
      <c r="B121" t="s">
        <v>94</v>
      </c>
      <c r="C121" t="s">
        <v>71</v>
      </c>
      <c r="D121">
        <v>169</v>
      </c>
      <c r="E121">
        <v>6</v>
      </c>
    </row>
    <row r="122" spans="1:5" x14ac:dyDescent="0.35">
      <c r="A122" t="s">
        <v>261</v>
      </c>
      <c r="B122" t="s">
        <v>130</v>
      </c>
      <c r="C122" t="s">
        <v>69</v>
      </c>
      <c r="D122">
        <v>0</v>
      </c>
      <c r="E122">
        <v>4.5</v>
      </c>
    </row>
    <row r="123" spans="1:5" x14ac:dyDescent="0.35">
      <c r="A123" t="s">
        <v>360</v>
      </c>
      <c r="B123" t="s">
        <v>114</v>
      </c>
      <c r="C123" t="s">
        <v>70</v>
      </c>
      <c r="D123">
        <v>0</v>
      </c>
      <c r="E123">
        <v>5.5</v>
      </c>
    </row>
    <row r="124" spans="1:5" x14ac:dyDescent="0.35">
      <c r="A124" t="s">
        <v>224</v>
      </c>
      <c r="B124" t="s">
        <v>114</v>
      </c>
      <c r="C124" t="s">
        <v>69</v>
      </c>
      <c r="D124">
        <v>0</v>
      </c>
      <c r="E124">
        <v>4.5</v>
      </c>
    </row>
    <row r="125" spans="1:5" x14ac:dyDescent="0.35">
      <c r="A125" t="s">
        <v>436</v>
      </c>
      <c r="B125" t="s">
        <v>47</v>
      </c>
      <c r="C125" t="s">
        <v>70</v>
      </c>
      <c r="D125">
        <v>10</v>
      </c>
      <c r="E125">
        <v>4.5</v>
      </c>
    </row>
    <row r="126" spans="1:5" x14ac:dyDescent="0.35">
      <c r="A126" t="s">
        <v>383</v>
      </c>
      <c r="B126" t="s">
        <v>58</v>
      </c>
      <c r="C126" t="s">
        <v>70</v>
      </c>
      <c r="D126">
        <v>28</v>
      </c>
      <c r="E126">
        <v>5.5</v>
      </c>
    </row>
    <row r="127" spans="1:5" x14ac:dyDescent="0.35">
      <c r="A127" t="s">
        <v>161</v>
      </c>
      <c r="B127" t="s">
        <v>45</v>
      </c>
      <c r="C127" t="s">
        <v>69</v>
      </c>
      <c r="D127">
        <v>22</v>
      </c>
      <c r="E127">
        <v>5.5</v>
      </c>
    </row>
    <row r="128" spans="1:5" x14ac:dyDescent="0.35">
      <c r="A128" t="s">
        <v>286</v>
      </c>
      <c r="B128" t="s">
        <v>114</v>
      </c>
      <c r="C128" t="s">
        <v>69</v>
      </c>
      <c r="D128">
        <v>0</v>
      </c>
      <c r="E128">
        <v>4.5</v>
      </c>
    </row>
    <row r="129" spans="1:5" x14ac:dyDescent="0.35">
      <c r="A129" t="s">
        <v>306</v>
      </c>
      <c r="B129" t="s">
        <v>99</v>
      </c>
      <c r="C129" t="s">
        <v>70</v>
      </c>
      <c r="D129">
        <v>161</v>
      </c>
      <c r="E129">
        <v>9</v>
      </c>
    </row>
    <row r="130" spans="1:5" x14ac:dyDescent="0.35">
      <c r="A130" t="s">
        <v>198</v>
      </c>
      <c r="B130" t="s">
        <v>51</v>
      </c>
      <c r="C130" t="s">
        <v>69</v>
      </c>
      <c r="D130">
        <v>77</v>
      </c>
      <c r="E130">
        <v>5</v>
      </c>
    </row>
    <row r="131" spans="1:5" x14ac:dyDescent="0.35">
      <c r="A131" t="s">
        <v>110</v>
      </c>
      <c r="B131" t="s">
        <v>52</v>
      </c>
      <c r="C131" t="s">
        <v>71</v>
      </c>
      <c r="D131">
        <v>143</v>
      </c>
      <c r="E131">
        <v>5</v>
      </c>
    </row>
    <row r="132" spans="1:5" x14ac:dyDescent="0.35">
      <c r="A132" t="s">
        <v>28</v>
      </c>
      <c r="B132" t="s">
        <v>44</v>
      </c>
      <c r="C132" t="s">
        <v>70</v>
      </c>
      <c r="D132">
        <v>65</v>
      </c>
      <c r="E132">
        <v>5.5</v>
      </c>
    </row>
    <row r="133" spans="1:5" x14ac:dyDescent="0.35">
      <c r="A133" t="s">
        <v>139</v>
      </c>
      <c r="B133" t="s">
        <v>128</v>
      </c>
      <c r="C133" t="s">
        <v>71</v>
      </c>
      <c r="D133">
        <v>0</v>
      </c>
      <c r="E133">
        <v>4.5</v>
      </c>
    </row>
    <row r="134" spans="1:5" x14ac:dyDescent="0.35">
      <c r="A134" t="s">
        <v>18</v>
      </c>
      <c r="B134" t="s">
        <v>52</v>
      </c>
      <c r="C134" t="s">
        <v>70</v>
      </c>
      <c r="D134">
        <v>155</v>
      </c>
      <c r="E134">
        <v>7</v>
      </c>
    </row>
    <row r="135" spans="1:5" x14ac:dyDescent="0.35">
      <c r="A135" t="s">
        <v>247</v>
      </c>
      <c r="B135" t="s">
        <v>108</v>
      </c>
      <c r="C135" t="s">
        <v>69</v>
      </c>
      <c r="D135">
        <v>47</v>
      </c>
      <c r="E135">
        <v>4.5</v>
      </c>
    </row>
    <row r="136" spans="1:5" x14ac:dyDescent="0.35">
      <c r="A136" t="s">
        <v>12</v>
      </c>
      <c r="B136" t="s">
        <v>94</v>
      </c>
      <c r="C136" t="s">
        <v>70</v>
      </c>
      <c r="D136">
        <v>79</v>
      </c>
      <c r="E136">
        <v>5.5</v>
      </c>
    </row>
    <row r="137" spans="1:5" x14ac:dyDescent="0.35">
      <c r="A137" t="s">
        <v>469</v>
      </c>
      <c r="B137" t="s">
        <v>44</v>
      </c>
      <c r="C137" t="s">
        <v>72</v>
      </c>
      <c r="D137">
        <v>160</v>
      </c>
      <c r="E137">
        <v>9.5</v>
      </c>
    </row>
    <row r="138" spans="1:5" x14ac:dyDescent="0.35">
      <c r="A138" t="s">
        <v>417</v>
      </c>
      <c r="B138" t="s">
        <v>130</v>
      </c>
      <c r="C138" t="s">
        <v>70</v>
      </c>
      <c r="D138">
        <v>0</v>
      </c>
      <c r="E138">
        <v>5</v>
      </c>
    </row>
    <row r="139" spans="1:5" x14ac:dyDescent="0.35">
      <c r="A139" t="s">
        <v>377</v>
      </c>
      <c r="B139" t="s">
        <v>94</v>
      </c>
      <c r="C139" t="s">
        <v>70</v>
      </c>
      <c r="D139">
        <v>25</v>
      </c>
      <c r="E139">
        <v>5.5</v>
      </c>
    </row>
    <row r="140" spans="1:5" x14ac:dyDescent="0.35">
      <c r="A140" t="s">
        <v>332</v>
      </c>
      <c r="B140" t="s">
        <v>52</v>
      </c>
      <c r="C140" t="s">
        <v>70</v>
      </c>
      <c r="D140">
        <v>0</v>
      </c>
      <c r="E140">
        <v>6.5</v>
      </c>
    </row>
    <row r="141" spans="1:5" x14ac:dyDescent="0.35">
      <c r="A141" t="s">
        <v>131</v>
      </c>
      <c r="B141" t="s">
        <v>58</v>
      </c>
      <c r="C141" t="s">
        <v>71</v>
      </c>
      <c r="D141">
        <v>2</v>
      </c>
      <c r="E141">
        <v>4.5</v>
      </c>
    </row>
    <row r="142" spans="1:5" x14ac:dyDescent="0.35">
      <c r="A142" t="s">
        <v>109</v>
      </c>
      <c r="B142" t="s">
        <v>53</v>
      </c>
      <c r="C142" t="s">
        <v>71</v>
      </c>
      <c r="D142">
        <v>129</v>
      </c>
      <c r="E142">
        <v>5</v>
      </c>
    </row>
    <row r="143" spans="1:5" x14ac:dyDescent="0.35">
      <c r="A143" t="s">
        <v>209</v>
      </c>
      <c r="B143" t="s">
        <v>99</v>
      </c>
      <c r="C143" t="s">
        <v>69</v>
      </c>
      <c r="D143">
        <v>35</v>
      </c>
      <c r="E143">
        <v>5</v>
      </c>
    </row>
    <row r="144" spans="1:5" x14ac:dyDescent="0.35">
      <c r="A144" t="s">
        <v>236</v>
      </c>
      <c r="B144" t="s">
        <v>56</v>
      </c>
      <c r="C144" t="s">
        <v>69</v>
      </c>
      <c r="D144">
        <v>40</v>
      </c>
      <c r="E144">
        <v>4.5</v>
      </c>
    </row>
    <row r="145" spans="1:5" x14ac:dyDescent="0.35">
      <c r="A145" t="s">
        <v>312</v>
      </c>
      <c r="B145" t="s">
        <v>56</v>
      </c>
      <c r="C145" t="s">
        <v>70</v>
      </c>
      <c r="D145">
        <v>181</v>
      </c>
      <c r="E145">
        <v>7.5</v>
      </c>
    </row>
    <row r="146" spans="1:5" x14ac:dyDescent="0.35">
      <c r="A146" t="s">
        <v>379</v>
      </c>
      <c r="B146" t="s">
        <v>97</v>
      </c>
      <c r="C146" t="s">
        <v>70</v>
      </c>
      <c r="D146">
        <v>40</v>
      </c>
      <c r="E146">
        <v>5.5</v>
      </c>
    </row>
    <row r="147" spans="1:5" x14ac:dyDescent="0.35">
      <c r="A147" t="s">
        <v>274</v>
      </c>
      <c r="B147" t="s">
        <v>52</v>
      </c>
      <c r="C147" t="s">
        <v>69</v>
      </c>
      <c r="D147">
        <v>38</v>
      </c>
      <c r="E147">
        <v>4.5</v>
      </c>
    </row>
    <row r="148" spans="1:5" x14ac:dyDescent="0.35">
      <c r="A148" t="s">
        <v>258</v>
      </c>
      <c r="B148" t="s">
        <v>130</v>
      </c>
      <c r="C148" t="s">
        <v>70</v>
      </c>
      <c r="D148">
        <v>0</v>
      </c>
      <c r="E148">
        <v>5.5</v>
      </c>
    </row>
    <row r="149" spans="1:5" x14ac:dyDescent="0.35">
      <c r="A149" t="s">
        <v>258</v>
      </c>
      <c r="B149" t="s">
        <v>130</v>
      </c>
      <c r="C149" t="s">
        <v>69</v>
      </c>
      <c r="D149">
        <v>0</v>
      </c>
      <c r="E149">
        <v>4.5</v>
      </c>
    </row>
    <row r="150" spans="1:5" x14ac:dyDescent="0.35">
      <c r="A150" t="s">
        <v>243</v>
      </c>
      <c r="B150" t="s">
        <v>51</v>
      </c>
      <c r="C150" t="s">
        <v>69</v>
      </c>
      <c r="D150">
        <v>3</v>
      </c>
      <c r="E150">
        <v>4.5</v>
      </c>
    </row>
    <row r="151" spans="1:5" x14ac:dyDescent="0.35">
      <c r="A151" t="s">
        <v>516</v>
      </c>
      <c r="B151" t="s">
        <v>58</v>
      </c>
      <c r="C151" t="s">
        <v>72</v>
      </c>
      <c r="D151">
        <v>4</v>
      </c>
      <c r="E151">
        <v>4.5</v>
      </c>
    </row>
    <row r="152" spans="1:5" x14ac:dyDescent="0.35">
      <c r="A152" t="s">
        <v>450</v>
      </c>
      <c r="B152" t="s">
        <v>97</v>
      </c>
      <c r="C152" t="s">
        <v>70</v>
      </c>
      <c r="D152">
        <v>1</v>
      </c>
      <c r="E152">
        <v>4.5</v>
      </c>
    </row>
    <row r="153" spans="1:5" x14ac:dyDescent="0.35">
      <c r="A153" t="s">
        <v>133</v>
      </c>
      <c r="B153" t="s">
        <v>99</v>
      </c>
      <c r="C153" t="s">
        <v>71</v>
      </c>
      <c r="D153">
        <v>13</v>
      </c>
      <c r="E153">
        <v>4.5</v>
      </c>
    </row>
    <row r="154" spans="1:5" x14ac:dyDescent="0.35">
      <c r="A154" t="s">
        <v>371</v>
      </c>
      <c r="B154" t="s">
        <v>51</v>
      </c>
      <c r="C154" t="s">
        <v>70</v>
      </c>
      <c r="D154">
        <v>28</v>
      </c>
      <c r="E154">
        <v>5.5</v>
      </c>
    </row>
    <row r="155" spans="1:5" x14ac:dyDescent="0.35">
      <c r="A155" t="s">
        <v>430</v>
      </c>
      <c r="B155" t="s">
        <v>112</v>
      </c>
      <c r="C155" t="s">
        <v>70</v>
      </c>
      <c r="D155">
        <v>37</v>
      </c>
      <c r="E155">
        <v>5</v>
      </c>
    </row>
    <row r="156" spans="1:5" x14ac:dyDescent="0.35">
      <c r="A156" t="s">
        <v>290</v>
      </c>
      <c r="B156" t="s">
        <v>57</v>
      </c>
      <c r="C156" t="s">
        <v>69</v>
      </c>
      <c r="D156">
        <v>6</v>
      </c>
      <c r="E156">
        <v>4</v>
      </c>
    </row>
    <row r="157" spans="1:5" x14ac:dyDescent="0.35">
      <c r="A157" t="s">
        <v>477</v>
      </c>
      <c r="B157" t="s">
        <v>45</v>
      </c>
      <c r="C157" t="s">
        <v>72</v>
      </c>
      <c r="D157">
        <v>55</v>
      </c>
      <c r="E157">
        <v>7</v>
      </c>
    </row>
    <row r="158" spans="1:5" x14ac:dyDescent="0.35">
      <c r="A158" t="s">
        <v>254</v>
      </c>
      <c r="B158" t="s">
        <v>128</v>
      </c>
      <c r="C158" t="s">
        <v>69</v>
      </c>
      <c r="D158">
        <v>0</v>
      </c>
      <c r="E158">
        <v>4.5</v>
      </c>
    </row>
    <row r="159" spans="1:5" x14ac:dyDescent="0.35">
      <c r="A159" t="s">
        <v>411</v>
      </c>
      <c r="B159" t="s">
        <v>97</v>
      </c>
      <c r="C159" t="s">
        <v>70</v>
      </c>
      <c r="D159">
        <v>2</v>
      </c>
      <c r="E159">
        <v>5</v>
      </c>
    </row>
    <row r="160" spans="1:5" x14ac:dyDescent="0.35">
      <c r="A160" t="s">
        <v>169</v>
      </c>
      <c r="B160" t="s">
        <v>44</v>
      </c>
      <c r="C160" t="s">
        <v>69</v>
      </c>
      <c r="D160">
        <v>55</v>
      </c>
      <c r="E160">
        <v>5.5</v>
      </c>
    </row>
    <row r="161" spans="1:5" x14ac:dyDescent="0.35">
      <c r="A161" t="s">
        <v>403</v>
      </c>
      <c r="B161" t="s">
        <v>56</v>
      </c>
      <c r="C161" t="s">
        <v>70</v>
      </c>
      <c r="D161">
        <v>54</v>
      </c>
      <c r="E161">
        <v>5</v>
      </c>
    </row>
    <row r="162" spans="1:5" x14ac:dyDescent="0.35">
      <c r="A162" t="s">
        <v>106</v>
      </c>
      <c r="B162" t="s">
        <v>97</v>
      </c>
      <c r="C162" t="s">
        <v>71</v>
      </c>
      <c r="D162">
        <v>0</v>
      </c>
      <c r="E162">
        <v>5</v>
      </c>
    </row>
    <row r="163" spans="1:5" x14ac:dyDescent="0.35">
      <c r="A163" t="s">
        <v>373</v>
      </c>
      <c r="B163" t="s">
        <v>53</v>
      </c>
      <c r="C163" t="s">
        <v>72</v>
      </c>
      <c r="D163">
        <v>83</v>
      </c>
      <c r="E163">
        <v>6</v>
      </c>
    </row>
    <row r="164" spans="1:5" x14ac:dyDescent="0.35">
      <c r="A164" t="s">
        <v>373</v>
      </c>
      <c r="B164" t="s">
        <v>51</v>
      </c>
      <c r="C164" t="s">
        <v>70</v>
      </c>
      <c r="D164">
        <v>84</v>
      </c>
      <c r="E164">
        <v>5.5</v>
      </c>
    </row>
    <row r="165" spans="1:5" x14ac:dyDescent="0.35">
      <c r="A165" t="s">
        <v>336</v>
      </c>
      <c r="B165" t="s">
        <v>114</v>
      </c>
      <c r="C165" t="s">
        <v>70</v>
      </c>
      <c r="D165">
        <v>0</v>
      </c>
      <c r="E165">
        <v>6</v>
      </c>
    </row>
    <row r="166" spans="1:5" x14ac:dyDescent="0.35">
      <c r="A166" t="s">
        <v>397</v>
      </c>
      <c r="B166" t="s">
        <v>114</v>
      </c>
      <c r="C166" t="s">
        <v>70</v>
      </c>
      <c r="D166">
        <v>0</v>
      </c>
      <c r="E166">
        <v>5</v>
      </c>
    </row>
    <row r="167" spans="1:5" x14ac:dyDescent="0.35">
      <c r="A167" t="s">
        <v>515</v>
      </c>
      <c r="B167" t="s">
        <v>97</v>
      </c>
      <c r="C167" t="s">
        <v>72</v>
      </c>
      <c r="D167">
        <v>4</v>
      </c>
      <c r="E167">
        <v>4.5</v>
      </c>
    </row>
    <row r="168" spans="1:5" x14ac:dyDescent="0.35">
      <c r="A168" t="s">
        <v>320</v>
      </c>
      <c r="B168" t="s">
        <v>59</v>
      </c>
      <c r="C168" t="s">
        <v>70</v>
      </c>
      <c r="D168">
        <v>80</v>
      </c>
      <c r="E168">
        <v>6.5</v>
      </c>
    </row>
    <row r="169" spans="1:5" x14ac:dyDescent="0.35">
      <c r="A169" t="s">
        <v>102</v>
      </c>
      <c r="B169" t="s">
        <v>54</v>
      </c>
      <c r="C169" t="s">
        <v>71</v>
      </c>
      <c r="D169">
        <v>81</v>
      </c>
      <c r="E169">
        <v>5</v>
      </c>
    </row>
    <row r="170" spans="1:5" x14ac:dyDescent="0.35">
      <c r="A170" t="s">
        <v>340</v>
      </c>
      <c r="B170" t="s">
        <v>57</v>
      </c>
      <c r="C170" t="s">
        <v>70</v>
      </c>
      <c r="D170">
        <v>92</v>
      </c>
      <c r="E170">
        <v>6</v>
      </c>
    </row>
    <row r="171" spans="1:5" x14ac:dyDescent="0.35">
      <c r="A171" t="s">
        <v>437</v>
      </c>
      <c r="B171" t="s">
        <v>47</v>
      </c>
      <c r="C171" t="s">
        <v>70</v>
      </c>
      <c r="D171">
        <v>47</v>
      </c>
      <c r="E171">
        <v>4.5</v>
      </c>
    </row>
    <row r="172" spans="1:5" x14ac:dyDescent="0.35">
      <c r="A172" t="s">
        <v>409</v>
      </c>
      <c r="B172" t="s">
        <v>50</v>
      </c>
      <c r="C172" t="s">
        <v>70</v>
      </c>
      <c r="D172">
        <v>78</v>
      </c>
      <c r="E172">
        <v>5</v>
      </c>
    </row>
    <row r="173" spans="1:5" x14ac:dyDescent="0.35">
      <c r="A173" t="s">
        <v>287</v>
      </c>
      <c r="B173" t="s">
        <v>114</v>
      </c>
      <c r="C173" t="s">
        <v>69</v>
      </c>
      <c r="D173">
        <v>0</v>
      </c>
      <c r="E173">
        <v>4.5</v>
      </c>
    </row>
    <row r="174" spans="1:5" x14ac:dyDescent="0.35">
      <c r="A174" t="s">
        <v>378</v>
      </c>
      <c r="B174" t="s">
        <v>94</v>
      </c>
      <c r="C174" t="s">
        <v>70</v>
      </c>
      <c r="D174">
        <v>113</v>
      </c>
      <c r="E174">
        <v>5.5</v>
      </c>
    </row>
    <row r="175" spans="1:5" x14ac:dyDescent="0.35">
      <c r="A175" t="s">
        <v>67</v>
      </c>
      <c r="B175" t="s">
        <v>58</v>
      </c>
      <c r="C175" t="s">
        <v>71</v>
      </c>
      <c r="D175">
        <v>47</v>
      </c>
      <c r="E175">
        <v>4.5</v>
      </c>
    </row>
    <row r="176" spans="1:5" x14ac:dyDescent="0.35">
      <c r="A176" t="s">
        <v>476</v>
      </c>
      <c r="B176" t="s">
        <v>52</v>
      </c>
      <c r="C176" t="s">
        <v>72</v>
      </c>
      <c r="D176">
        <v>0</v>
      </c>
      <c r="E176">
        <v>7.5</v>
      </c>
    </row>
    <row r="177" spans="1:5" x14ac:dyDescent="0.35">
      <c r="A177" t="s">
        <v>291</v>
      </c>
      <c r="B177" t="s">
        <v>128</v>
      </c>
      <c r="C177" t="s">
        <v>69</v>
      </c>
      <c r="D177">
        <v>0</v>
      </c>
      <c r="E177">
        <v>4</v>
      </c>
    </row>
    <row r="178" spans="1:5" x14ac:dyDescent="0.35">
      <c r="A178" t="s">
        <v>121</v>
      </c>
      <c r="B178" t="s">
        <v>57</v>
      </c>
      <c r="C178" t="s">
        <v>71</v>
      </c>
      <c r="D178">
        <v>69</v>
      </c>
      <c r="E178">
        <v>4.5</v>
      </c>
    </row>
    <row r="179" spans="1:5" x14ac:dyDescent="0.35">
      <c r="A179" t="s">
        <v>227</v>
      </c>
      <c r="B179" t="s">
        <v>114</v>
      </c>
      <c r="C179" t="s">
        <v>69</v>
      </c>
      <c r="D179">
        <v>0</v>
      </c>
      <c r="E179">
        <v>4.5</v>
      </c>
    </row>
    <row r="180" spans="1:5" x14ac:dyDescent="0.35">
      <c r="A180" t="s">
        <v>451</v>
      </c>
      <c r="B180" t="s">
        <v>108</v>
      </c>
      <c r="C180" t="s">
        <v>70</v>
      </c>
      <c r="D180">
        <v>69</v>
      </c>
      <c r="E180">
        <v>4.5</v>
      </c>
    </row>
    <row r="181" spans="1:5" x14ac:dyDescent="0.35">
      <c r="A181" t="s">
        <v>120</v>
      </c>
      <c r="B181" t="s">
        <v>57</v>
      </c>
      <c r="C181" t="s">
        <v>71</v>
      </c>
      <c r="D181">
        <v>58</v>
      </c>
      <c r="E181">
        <v>4.5</v>
      </c>
    </row>
    <row r="182" spans="1:5" x14ac:dyDescent="0.35">
      <c r="A182" t="s">
        <v>374</v>
      </c>
      <c r="B182" t="s">
        <v>44</v>
      </c>
      <c r="C182" t="s">
        <v>70</v>
      </c>
      <c r="D182">
        <v>76</v>
      </c>
      <c r="E182">
        <v>5.5</v>
      </c>
    </row>
    <row r="183" spans="1:5" x14ac:dyDescent="0.35">
      <c r="A183" t="s">
        <v>366</v>
      </c>
      <c r="B183" t="s">
        <v>57</v>
      </c>
      <c r="C183" t="s">
        <v>70</v>
      </c>
      <c r="D183">
        <v>73</v>
      </c>
      <c r="E183">
        <v>5.5</v>
      </c>
    </row>
    <row r="184" spans="1:5" x14ac:dyDescent="0.35">
      <c r="A184" t="s">
        <v>122</v>
      </c>
      <c r="B184" t="s">
        <v>54</v>
      </c>
      <c r="C184" t="s">
        <v>71</v>
      </c>
      <c r="D184">
        <v>67</v>
      </c>
      <c r="E184">
        <v>4.5</v>
      </c>
    </row>
    <row r="185" spans="1:5" x14ac:dyDescent="0.35">
      <c r="A185" t="s">
        <v>381</v>
      </c>
      <c r="B185" t="s">
        <v>128</v>
      </c>
      <c r="C185" t="s">
        <v>70</v>
      </c>
      <c r="D185">
        <v>0</v>
      </c>
      <c r="E185">
        <v>5.5</v>
      </c>
    </row>
    <row r="186" spans="1:5" x14ac:dyDescent="0.35">
      <c r="A186" t="s">
        <v>420</v>
      </c>
      <c r="B186" t="s">
        <v>58</v>
      </c>
      <c r="C186" t="s">
        <v>70</v>
      </c>
      <c r="D186">
        <v>90</v>
      </c>
      <c r="E186">
        <v>5</v>
      </c>
    </row>
    <row r="187" spans="1:5" x14ac:dyDescent="0.35">
      <c r="A187" t="s">
        <v>223</v>
      </c>
      <c r="B187" t="s">
        <v>47</v>
      </c>
      <c r="C187" t="s">
        <v>69</v>
      </c>
      <c r="D187">
        <v>24</v>
      </c>
      <c r="E187">
        <v>4.5</v>
      </c>
    </row>
    <row r="188" spans="1:5" x14ac:dyDescent="0.35">
      <c r="A188" t="s">
        <v>212</v>
      </c>
      <c r="B188" t="s">
        <v>53</v>
      </c>
      <c r="C188" t="s">
        <v>69</v>
      </c>
      <c r="D188">
        <v>93</v>
      </c>
      <c r="E188">
        <v>5</v>
      </c>
    </row>
    <row r="189" spans="1:5" x14ac:dyDescent="0.35">
      <c r="A189" t="s">
        <v>335</v>
      </c>
      <c r="B189" t="s">
        <v>114</v>
      </c>
      <c r="C189" t="s">
        <v>70</v>
      </c>
      <c r="D189">
        <v>0</v>
      </c>
      <c r="E189">
        <v>6</v>
      </c>
    </row>
    <row r="190" spans="1:5" x14ac:dyDescent="0.35">
      <c r="A190" t="s">
        <v>342</v>
      </c>
      <c r="B190" t="s">
        <v>45</v>
      </c>
      <c r="C190" t="s">
        <v>70</v>
      </c>
      <c r="D190">
        <v>18</v>
      </c>
      <c r="E190">
        <v>6</v>
      </c>
    </row>
    <row r="191" spans="1:5" x14ac:dyDescent="0.35">
      <c r="A191" t="s">
        <v>386</v>
      </c>
      <c r="B191" t="s">
        <v>53</v>
      </c>
      <c r="C191" t="s">
        <v>70</v>
      </c>
      <c r="D191">
        <v>87</v>
      </c>
      <c r="E191">
        <v>5.5</v>
      </c>
    </row>
    <row r="192" spans="1:5" x14ac:dyDescent="0.35">
      <c r="A192" t="s">
        <v>401</v>
      </c>
      <c r="B192" t="s">
        <v>56</v>
      </c>
      <c r="C192" t="s">
        <v>70</v>
      </c>
      <c r="D192">
        <v>33</v>
      </c>
      <c r="E192">
        <v>5</v>
      </c>
    </row>
    <row r="193" spans="1:5" x14ac:dyDescent="0.35">
      <c r="A193" t="s">
        <v>490</v>
      </c>
      <c r="B193" t="s">
        <v>51</v>
      </c>
      <c r="C193" t="s">
        <v>72</v>
      </c>
      <c r="D193">
        <v>58</v>
      </c>
      <c r="E193">
        <v>6</v>
      </c>
    </row>
    <row r="194" spans="1:5" x14ac:dyDescent="0.35">
      <c r="A194" t="s">
        <v>493</v>
      </c>
      <c r="B194" t="s">
        <v>58</v>
      </c>
      <c r="C194" t="s">
        <v>72</v>
      </c>
      <c r="D194">
        <v>90</v>
      </c>
      <c r="E194">
        <v>6</v>
      </c>
    </row>
    <row r="195" spans="1:5" x14ac:dyDescent="0.35">
      <c r="A195" t="s">
        <v>334</v>
      </c>
      <c r="B195" t="s">
        <v>47</v>
      </c>
      <c r="C195" t="s">
        <v>70</v>
      </c>
      <c r="D195">
        <v>99</v>
      </c>
      <c r="E195">
        <v>6</v>
      </c>
    </row>
    <row r="196" spans="1:5" x14ac:dyDescent="0.35">
      <c r="A196" t="s">
        <v>362</v>
      </c>
      <c r="B196" t="s">
        <v>59</v>
      </c>
      <c r="C196" t="s">
        <v>70</v>
      </c>
      <c r="D196">
        <v>31</v>
      </c>
      <c r="E196">
        <v>5.5</v>
      </c>
    </row>
    <row r="197" spans="1:5" x14ac:dyDescent="0.35">
      <c r="A197" t="s">
        <v>280</v>
      </c>
      <c r="B197" t="s">
        <v>130</v>
      </c>
      <c r="C197" t="s">
        <v>69</v>
      </c>
      <c r="D197">
        <v>22</v>
      </c>
      <c r="E197">
        <v>4.5</v>
      </c>
    </row>
    <row r="198" spans="1:5" x14ac:dyDescent="0.35">
      <c r="A198" t="s">
        <v>338</v>
      </c>
      <c r="B198" t="s">
        <v>59</v>
      </c>
      <c r="C198" t="s">
        <v>70</v>
      </c>
      <c r="D198">
        <v>33</v>
      </c>
      <c r="E198">
        <v>6</v>
      </c>
    </row>
    <row r="199" spans="1:5" x14ac:dyDescent="0.35">
      <c r="A199" t="s">
        <v>123</v>
      </c>
      <c r="B199" t="s">
        <v>51</v>
      </c>
      <c r="C199" t="s">
        <v>71</v>
      </c>
      <c r="D199">
        <v>0</v>
      </c>
      <c r="E199">
        <v>4.5</v>
      </c>
    </row>
    <row r="200" spans="1:5" x14ac:dyDescent="0.35">
      <c r="A200" t="s">
        <v>348</v>
      </c>
      <c r="B200" t="s">
        <v>51</v>
      </c>
      <c r="C200" t="s">
        <v>70</v>
      </c>
      <c r="D200">
        <v>0</v>
      </c>
      <c r="E200">
        <v>4.5</v>
      </c>
    </row>
    <row r="201" spans="1:5" x14ac:dyDescent="0.35">
      <c r="A201" t="s">
        <v>348</v>
      </c>
      <c r="B201" t="s">
        <v>97</v>
      </c>
      <c r="C201" t="s">
        <v>70</v>
      </c>
      <c r="D201">
        <v>0</v>
      </c>
      <c r="E201">
        <v>6</v>
      </c>
    </row>
    <row r="202" spans="1:5" x14ac:dyDescent="0.35">
      <c r="A202" t="s">
        <v>270</v>
      </c>
      <c r="B202" t="s">
        <v>53</v>
      </c>
      <c r="C202" t="s">
        <v>69</v>
      </c>
      <c r="D202">
        <v>50</v>
      </c>
      <c r="E202">
        <v>4.5</v>
      </c>
    </row>
    <row r="203" spans="1:5" x14ac:dyDescent="0.35">
      <c r="A203" t="s">
        <v>517</v>
      </c>
      <c r="B203" t="s">
        <v>99</v>
      </c>
      <c r="C203" t="s">
        <v>72</v>
      </c>
      <c r="D203">
        <v>3</v>
      </c>
      <c r="E203">
        <v>4.5</v>
      </c>
    </row>
    <row r="204" spans="1:5" x14ac:dyDescent="0.35">
      <c r="A204" t="s">
        <v>222</v>
      </c>
      <c r="B204" t="s">
        <v>47</v>
      </c>
      <c r="C204" t="s">
        <v>69</v>
      </c>
      <c r="D204">
        <v>4</v>
      </c>
      <c r="E204">
        <v>4.5</v>
      </c>
    </row>
    <row r="205" spans="1:5" x14ac:dyDescent="0.35">
      <c r="A205" t="s">
        <v>470</v>
      </c>
      <c r="B205" t="s">
        <v>94</v>
      </c>
      <c r="C205" t="s">
        <v>72</v>
      </c>
      <c r="D205">
        <v>79</v>
      </c>
      <c r="E205">
        <v>9.5</v>
      </c>
    </row>
    <row r="206" spans="1:5" x14ac:dyDescent="0.35">
      <c r="A206" t="s">
        <v>475</v>
      </c>
      <c r="B206" t="s">
        <v>112</v>
      </c>
      <c r="C206" t="s">
        <v>72</v>
      </c>
      <c r="D206">
        <v>181</v>
      </c>
      <c r="E206">
        <v>7.5</v>
      </c>
    </row>
    <row r="207" spans="1:5" x14ac:dyDescent="0.35">
      <c r="A207" t="s">
        <v>298</v>
      </c>
      <c r="B207" t="s">
        <v>58</v>
      </c>
      <c r="C207" t="s">
        <v>70</v>
      </c>
      <c r="D207">
        <v>1</v>
      </c>
      <c r="E207">
        <v>4.5</v>
      </c>
    </row>
    <row r="208" spans="1:5" x14ac:dyDescent="0.35">
      <c r="A208" t="s">
        <v>298</v>
      </c>
      <c r="B208" t="s">
        <v>52</v>
      </c>
      <c r="C208" t="s">
        <v>69</v>
      </c>
      <c r="D208">
        <v>2</v>
      </c>
      <c r="E208">
        <v>4</v>
      </c>
    </row>
    <row r="209" spans="1:5" x14ac:dyDescent="0.35">
      <c r="A209" t="s">
        <v>204</v>
      </c>
      <c r="B209" t="s">
        <v>97</v>
      </c>
      <c r="C209" t="s">
        <v>69</v>
      </c>
      <c r="D209">
        <v>43</v>
      </c>
      <c r="E209">
        <v>5</v>
      </c>
    </row>
    <row r="210" spans="1:5" x14ac:dyDescent="0.35">
      <c r="A210" t="s">
        <v>26</v>
      </c>
      <c r="B210" t="s">
        <v>112</v>
      </c>
      <c r="C210" t="s">
        <v>69</v>
      </c>
      <c r="D210">
        <v>103</v>
      </c>
      <c r="E210">
        <v>5.5</v>
      </c>
    </row>
    <row r="211" spans="1:5" x14ac:dyDescent="0.35">
      <c r="A211" t="s">
        <v>22</v>
      </c>
      <c r="B211" t="s">
        <v>45</v>
      </c>
      <c r="C211" t="s">
        <v>70</v>
      </c>
      <c r="D211">
        <v>96</v>
      </c>
      <c r="E211">
        <v>5</v>
      </c>
    </row>
    <row r="212" spans="1:5" x14ac:dyDescent="0.35">
      <c r="A212" t="s">
        <v>509</v>
      </c>
      <c r="B212" t="s">
        <v>108</v>
      </c>
      <c r="C212" t="s">
        <v>72</v>
      </c>
      <c r="D212">
        <v>30</v>
      </c>
      <c r="E212">
        <v>5</v>
      </c>
    </row>
    <row r="213" spans="1:5" x14ac:dyDescent="0.35">
      <c r="A213" t="s">
        <v>337</v>
      </c>
      <c r="B213" t="s">
        <v>112</v>
      </c>
      <c r="C213" t="s">
        <v>72</v>
      </c>
      <c r="D213">
        <v>139</v>
      </c>
      <c r="E213">
        <v>6.5</v>
      </c>
    </row>
    <row r="214" spans="1:5" x14ac:dyDescent="0.35">
      <c r="A214" t="s">
        <v>337</v>
      </c>
      <c r="B214" t="s">
        <v>114</v>
      </c>
      <c r="C214" t="s">
        <v>70</v>
      </c>
      <c r="D214">
        <v>0</v>
      </c>
      <c r="E214">
        <v>6</v>
      </c>
    </row>
    <row r="215" spans="1:5" x14ac:dyDescent="0.35">
      <c r="A215" t="s">
        <v>217</v>
      </c>
      <c r="B215" t="s">
        <v>51</v>
      </c>
      <c r="C215" t="s">
        <v>69</v>
      </c>
      <c r="D215">
        <v>0</v>
      </c>
      <c r="E215">
        <v>5</v>
      </c>
    </row>
    <row r="216" spans="1:5" x14ac:dyDescent="0.35">
      <c r="A216" t="s">
        <v>266</v>
      </c>
      <c r="B216" t="s">
        <v>53</v>
      </c>
      <c r="C216" t="s">
        <v>69</v>
      </c>
      <c r="D216">
        <v>36</v>
      </c>
      <c r="E216">
        <v>4.5</v>
      </c>
    </row>
    <row r="217" spans="1:5" x14ac:dyDescent="0.35">
      <c r="A217" t="s">
        <v>467</v>
      </c>
      <c r="B217" t="s">
        <v>99</v>
      </c>
      <c r="C217" t="s">
        <v>72</v>
      </c>
      <c r="D217">
        <v>160</v>
      </c>
      <c r="E217">
        <v>11</v>
      </c>
    </row>
    <row r="218" spans="1:5" x14ac:dyDescent="0.35">
      <c r="A218" t="s">
        <v>406</v>
      </c>
      <c r="B218" t="s">
        <v>45</v>
      </c>
      <c r="C218" t="s">
        <v>70</v>
      </c>
      <c r="D218">
        <v>116</v>
      </c>
      <c r="E218">
        <v>5</v>
      </c>
    </row>
    <row r="219" spans="1:5" x14ac:dyDescent="0.35">
      <c r="A219" t="s">
        <v>441</v>
      </c>
      <c r="B219" t="s">
        <v>59</v>
      </c>
      <c r="C219" t="s">
        <v>70</v>
      </c>
      <c r="D219">
        <v>36</v>
      </c>
      <c r="E219">
        <v>4.5</v>
      </c>
    </row>
    <row r="220" spans="1:5" x14ac:dyDescent="0.35">
      <c r="A220" t="s">
        <v>165</v>
      </c>
      <c r="B220" t="s">
        <v>50</v>
      </c>
      <c r="C220" t="s">
        <v>69</v>
      </c>
      <c r="D220">
        <v>129</v>
      </c>
      <c r="E220">
        <v>5.5</v>
      </c>
    </row>
    <row r="221" spans="1:5" x14ac:dyDescent="0.35">
      <c r="A221" t="s">
        <v>347</v>
      </c>
      <c r="B221" t="s">
        <v>44</v>
      </c>
      <c r="C221" t="s">
        <v>70</v>
      </c>
      <c r="D221">
        <v>67</v>
      </c>
      <c r="E221">
        <v>6</v>
      </c>
    </row>
    <row r="222" spans="1:5" x14ac:dyDescent="0.35">
      <c r="A222" t="s">
        <v>237</v>
      </c>
      <c r="B222" t="s">
        <v>54</v>
      </c>
      <c r="C222" t="s">
        <v>69</v>
      </c>
      <c r="D222">
        <v>26</v>
      </c>
      <c r="E222">
        <v>4</v>
      </c>
    </row>
    <row r="223" spans="1:5" x14ac:dyDescent="0.35">
      <c r="A223" t="s">
        <v>237</v>
      </c>
      <c r="B223" t="s">
        <v>56</v>
      </c>
      <c r="C223" t="s">
        <v>69</v>
      </c>
      <c r="D223">
        <v>0</v>
      </c>
      <c r="E223">
        <v>4.5</v>
      </c>
    </row>
    <row r="224" spans="1:5" x14ac:dyDescent="0.35">
      <c r="A224" t="s">
        <v>395</v>
      </c>
      <c r="B224" t="s">
        <v>45</v>
      </c>
      <c r="C224" t="s">
        <v>70</v>
      </c>
      <c r="D224">
        <v>50</v>
      </c>
      <c r="E224">
        <v>5.5</v>
      </c>
    </row>
    <row r="225" spans="1:5" x14ac:dyDescent="0.35">
      <c r="A225" t="s">
        <v>32</v>
      </c>
      <c r="B225" t="s">
        <v>45</v>
      </c>
      <c r="C225" t="s">
        <v>71</v>
      </c>
      <c r="D225">
        <v>142</v>
      </c>
      <c r="E225">
        <v>5.5</v>
      </c>
    </row>
    <row r="226" spans="1:5" x14ac:dyDescent="0.35">
      <c r="A226" t="s">
        <v>14</v>
      </c>
      <c r="B226" t="s">
        <v>108</v>
      </c>
      <c r="C226" t="s">
        <v>70</v>
      </c>
      <c r="D226">
        <v>38</v>
      </c>
      <c r="E226">
        <v>5</v>
      </c>
    </row>
    <row r="227" spans="1:5" x14ac:dyDescent="0.35">
      <c r="A227" t="s">
        <v>29</v>
      </c>
      <c r="B227" t="s">
        <v>53</v>
      </c>
      <c r="C227" t="s">
        <v>69</v>
      </c>
      <c r="D227">
        <v>66</v>
      </c>
      <c r="E227">
        <v>4.5</v>
      </c>
    </row>
    <row r="228" spans="1:5" x14ac:dyDescent="0.35">
      <c r="A228" s="5" t="s">
        <v>299</v>
      </c>
      <c r="B228" s="5" t="s">
        <v>112</v>
      </c>
      <c r="C228" s="5" t="s">
        <v>69</v>
      </c>
      <c r="D228" s="5">
        <v>1</v>
      </c>
      <c r="E228" s="5">
        <v>4</v>
      </c>
    </row>
    <row r="229" spans="1:5" x14ac:dyDescent="0.35">
      <c r="A229" t="s">
        <v>481</v>
      </c>
      <c r="B229" t="s">
        <v>56</v>
      </c>
      <c r="C229" t="s">
        <v>72</v>
      </c>
      <c r="D229">
        <v>141</v>
      </c>
      <c r="E229">
        <v>6.5</v>
      </c>
    </row>
    <row r="230" spans="1:5" x14ac:dyDescent="0.35">
      <c r="A230" t="s">
        <v>253</v>
      </c>
      <c r="B230" t="s">
        <v>128</v>
      </c>
      <c r="C230" t="s">
        <v>69</v>
      </c>
      <c r="D230">
        <v>0</v>
      </c>
      <c r="E230">
        <v>4.5</v>
      </c>
    </row>
    <row r="231" spans="1:5" x14ac:dyDescent="0.35">
      <c r="A231" t="s">
        <v>363</v>
      </c>
      <c r="B231" t="s">
        <v>59</v>
      </c>
      <c r="C231" t="s">
        <v>70</v>
      </c>
      <c r="D231">
        <v>74</v>
      </c>
      <c r="E231">
        <v>5.5</v>
      </c>
    </row>
    <row r="232" spans="1:5" x14ac:dyDescent="0.35">
      <c r="A232" t="s">
        <v>498</v>
      </c>
      <c r="B232" t="s">
        <v>114</v>
      </c>
      <c r="C232" t="s">
        <v>72</v>
      </c>
      <c r="D232">
        <v>0</v>
      </c>
      <c r="E232">
        <v>5.5</v>
      </c>
    </row>
    <row r="233" spans="1:5" x14ac:dyDescent="0.35">
      <c r="A233" t="s">
        <v>160</v>
      </c>
      <c r="B233" t="s">
        <v>47</v>
      </c>
      <c r="C233" t="s">
        <v>69</v>
      </c>
      <c r="D233">
        <v>81</v>
      </c>
      <c r="E233">
        <v>5.5</v>
      </c>
    </row>
    <row r="234" spans="1:5" x14ac:dyDescent="0.35">
      <c r="A234" t="s">
        <v>284</v>
      </c>
      <c r="B234" t="s">
        <v>114</v>
      </c>
      <c r="C234" t="s">
        <v>69</v>
      </c>
      <c r="D234">
        <v>0</v>
      </c>
      <c r="E234">
        <v>4.5</v>
      </c>
    </row>
    <row r="235" spans="1:5" x14ac:dyDescent="0.35">
      <c r="A235" t="s">
        <v>189</v>
      </c>
      <c r="B235" t="s">
        <v>47</v>
      </c>
      <c r="C235" t="s">
        <v>69</v>
      </c>
      <c r="D235">
        <v>62</v>
      </c>
      <c r="E235">
        <v>5</v>
      </c>
    </row>
    <row r="236" spans="1:5" x14ac:dyDescent="0.35">
      <c r="A236" t="s">
        <v>407</v>
      </c>
      <c r="B236" t="s">
        <v>54</v>
      </c>
      <c r="C236" t="s">
        <v>70</v>
      </c>
      <c r="D236">
        <v>67</v>
      </c>
      <c r="E236">
        <v>5</v>
      </c>
    </row>
    <row r="237" spans="1:5" x14ac:dyDescent="0.35">
      <c r="A237" t="s">
        <v>390</v>
      </c>
      <c r="B237" t="s">
        <v>45</v>
      </c>
      <c r="C237" t="s">
        <v>70</v>
      </c>
      <c r="D237">
        <v>64</v>
      </c>
      <c r="E237">
        <v>5.5</v>
      </c>
    </row>
    <row r="238" spans="1:5" x14ac:dyDescent="0.35">
      <c r="A238" t="s">
        <v>127</v>
      </c>
      <c r="B238" t="s">
        <v>128</v>
      </c>
      <c r="C238" t="s">
        <v>71</v>
      </c>
      <c r="D238">
        <v>0</v>
      </c>
      <c r="E238">
        <v>4.5</v>
      </c>
    </row>
    <row r="239" spans="1:5" x14ac:dyDescent="0.35">
      <c r="A239" t="s">
        <v>468</v>
      </c>
      <c r="B239" t="s">
        <v>47</v>
      </c>
      <c r="C239" t="s">
        <v>72</v>
      </c>
      <c r="D239">
        <v>166</v>
      </c>
      <c r="E239">
        <v>9.5</v>
      </c>
    </row>
    <row r="240" spans="1:5" x14ac:dyDescent="0.35">
      <c r="A240" t="s">
        <v>346</v>
      </c>
      <c r="B240" t="s">
        <v>44</v>
      </c>
      <c r="C240" t="s">
        <v>70</v>
      </c>
      <c r="D240">
        <v>23</v>
      </c>
      <c r="E240">
        <v>6</v>
      </c>
    </row>
    <row r="241" spans="1:5" x14ac:dyDescent="0.35">
      <c r="A241" t="s">
        <v>352</v>
      </c>
      <c r="B241" t="s">
        <v>99</v>
      </c>
      <c r="C241" t="s">
        <v>70</v>
      </c>
      <c r="D241">
        <v>67</v>
      </c>
      <c r="E241">
        <v>6</v>
      </c>
    </row>
    <row r="242" spans="1:5" x14ac:dyDescent="0.35">
      <c r="A242" t="s">
        <v>440</v>
      </c>
      <c r="B242" t="s">
        <v>114</v>
      </c>
      <c r="C242" t="s">
        <v>70</v>
      </c>
      <c r="D242">
        <v>0</v>
      </c>
      <c r="E242">
        <v>4.5</v>
      </c>
    </row>
    <row r="243" spans="1:5" x14ac:dyDescent="0.35">
      <c r="A243" t="s">
        <v>331</v>
      </c>
      <c r="B243" t="s">
        <v>52</v>
      </c>
      <c r="C243" t="s">
        <v>70</v>
      </c>
      <c r="D243">
        <v>31</v>
      </c>
      <c r="E243">
        <v>6.5</v>
      </c>
    </row>
    <row r="244" spans="1:5" x14ac:dyDescent="0.35">
      <c r="A244" t="s">
        <v>150</v>
      </c>
      <c r="B244" t="s">
        <v>94</v>
      </c>
      <c r="C244" t="s">
        <v>69</v>
      </c>
      <c r="D244">
        <v>177</v>
      </c>
      <c r="E244">
        <v>6.5</v>
      </c>
    </row>
    <row r="245" spans="1:5" x14ac:dyDescent="0.35">
      <c r="A245" t="s">
        <v>251</v>
      </c>
      <c r="B245" t="s">
        <v>108</v>
      </c>
      <c r="C245" t="s">
        <v>69</v>
      </c>
      <c r="D245">
        <v>95</v>
      </c>
      <c r="E245">
        <v>4.5</v>
      </c>
    </row>
    <row r="246" spans="1:5" x14ac:dyDescent="0.35">
      <c r="A246" t="s">
        <v>453</v>
      </c>
      <c r="B246" t="s">
        <v>128</v>
      </c>
      <c r="C246" t="s">
        <v>70</v>
      </c>
      <c r="D246">
        <v>0</v>
      </c>
      <c r="E246">
        <v>4.5</v>
      </c>
    </row>
    <row r="247" spans="1:5" x14ac:dyDescent="0.35">
      <c r="A247" t="s">
        <v>250</v>
      </c>
      <c r="B247" t="s">
        <v>108</v>
      </c>
      <c r="C247" t="s">
        <v>69</v>
      </c>
      <c r="D247">
        <v>35</v>
      </c>
      <c r="E247">
        <v>4.5</v>
      </c>
    </row>
    <row r="248" spans="1:5" x14ac:dyDescent="0.35">
      <c r="A248" t="s">
        <v>419</v>
      </c>
      <c r="B248" t="s">
        <v>58</v>
      </c>
      <c r="C248" t="s">
        <v>70</v>
      </c>
      <c r="D248">
        <v>50</v>
      </c>
      <c r="E248">
        <v>5</v>
      </c>
    </row>
    <row r="249" spans="1:5" x14ac:dyDescent="0.35">
      <c r="A249" t="s">
        <v>434</v>
      </c>
      <c r="B249" t="s">
        <v>57</v>
      </c>
      <c r="C249" t="s">
        <v>70</v>
      </c>
      <c r="D249">
        <v>41</v>
      </c>
      <c r="E249">
        <v>5</v>
      </c>
    </row>
    <row r="250" spans="1:5" x14ac:dyDescent="0.35">
      <c r="A250" t="s">
        <v>100</v>
      </c>
      <c r="B250" t="s">
        <v>47</v>
      </c>
      <c r="C250" t="s">
        <v>71</v>
      </c>
      <c r="D250">
        <v>106</v>
      </c>
      <c r="E250">
        <v>5</v>
      </c>
    </row>
    <row r="251" spans="1:5" x14ac:dyDescent="0.35">
      <c r="A251" t="s">
        <v>404</v>
      </c>
      <c r="B251" t="s">
        <v>56</v>
      </c>
      <c r="C251" t="s">
        <v>70</v>
      </c>
      <c r="D251">
        <v>75</v>
      </c>
      <c r="E251">
        <v>5</v>
      </c>
    </row>
    <row r="252" spans="1:5" x14ac:dyDescent="0.35">
      <c r="A252" t="s">
        <v>257</v>
      </c>
      <c r="B252" t="s">
        <v>128</v>
      </c>
      <c r="C252" t="s">
        <v>69</v>
      </c>
      <c r="D252">
        <v>0</v>
      </c>
      <c r="E252">
        <v>4.5</v>
      </c>
    </row>
    <row r="253" spans="1:5" x14ac:dyDescent="0.35">
      <c r="A253" t="s">
        <v>16</v>
      </c>
      <c r="B253" t="s">
        <v>56</v>
      </c>
      <c r="C253" t="s">
        <v>70</v>
      </c>
      <c r="D253">
        <v>22</v>
      </c>
      <c r="E253">
        <v>5</v>
      </c>
    </row>
    <row r="254" spans="1:5" x14ac:dyDescent="0.35">
      <c r="A254" t="s">
        <v>178</v>
      </c>
      <c r="B254" t="s">
        <v>97</v>
      </c>
      <c r="C254" t="s">
        <v>69</v>
      </c>
      <c r="D254">
        <v>85</v>
      </c>
      <c r="E254">
        <v>5.5</v>
      </c>
    </row>
    <row r="255" spans="1:5" x14ac:dyDescent="0.35">
      <c r="A255" t="s">
        <v>326</v>
      </c>
      <c r="B255" t="s">
        <v>97</v>
      </c>
      <c r="C255" t="s">
        <v>70</v>
      </c>
      <c r="D255">
        <v>78</v>
      </c>
      <c r="E255">
        <v>6.5</v>
      </c>
    </row>
    <row r="256" spans="1:5" x14ac:dyDescent="0.35">
      <c r="A256" t="s">
        <v>98</v>
      </c>
      <c r="B256" t="s">
        <v>99</v>
      </c>
      <c r="C256" t="s">
        <v>71</v>
      </c>
      <c r="D256">
        <v>145</v>
      </c>
      <c r="E256">
        <v>5.5</v>
      </c>
    </row>
    <row r="257" spans="1:5" x14ac:dyDescent="0.35">
      <c r="A257" t="s">
        <v>499</v>
      </c>
      <c r="B257" t="s">
        <v>59</v>
      </c>
      <c r="C257" t="s">
        <v>72</v>
      </c>
      <c r="D257">
        <v>52</v>
      </c>
      <c r="E257">
        <v>5.5</v>
      </c>
    </row>
    <row r="258" spans="1:5" x14ac:dyDescent="0.35">
      <c r="A258" t="s">
        <v>322</v>
      </c>
      <c r="B258" t="s">
        <v>45</v>
      </c>
      <c r="C258" t="s">
        <v>70</v>
      </c>
      <c r="D258">
        <v>79</v>
      </c>
      <c r="E258">
        <v>6.5</v>
      </c>
    </row>
    <row r="259" spans="1:5" x14ac:dyDescent="0.35">
      <c r="A259" t="s">
        <v>240</v>
      </c>
      <c r="B259" t="s">
        <v>58</v>
      </c>
      <c r="C259" t="s">
        <v>72</v>
      </c>
      <c r="D259">
        <v>66</v>
      </c>
      <c r="E259">
        <v>5</v>
      </c>
    </row>
    <row r="260" spans="1:5" x14ac:dyDescent="0.35">
      <c r="A260" t="s">
        <v>240</v>
      </c>
      <c r="B260" t="s">
        <v>57</v>
      </c>
      <c r="C260" t="s">
        <v>69</v>
      </c>
      <c r="D260">
        <v>16</v>
      </c>
      <c r="E260">
        <v>4.5</v>
      </c>
    </row>
    <row r="261" spans="1:5" x14ac:dyDescent="0.35">
      <c r="A261" t="s">
        <v>415</v>
      </c>
      <c r="B261" t="s">
        <v>108</v>
      </c>
      <c r="C261" t="s">
        <v>70</v>
      </c>
      <c r="D261">
        <v>26</v>
      </c>
      <c r="E261">
        <v>5</v>
      </c>
    </row>
    <row r="262" spans="1:5" x14ac:dyDescent="0.35">
      <c r="A262" t="s">
        <v>408</v>
      </c>
      <c r="B262" t="s">
        <v>50</v>
      </c>
      <c r="C262" t="s">
        <v>70</v>
      </c>
      <c r="D262">
        <v>34</v>
      </c>
      <c r="E262">
        <v>5</v>
      </c>
    </row>
    <row r="263" spans="1:5" x14ac:dyDescent="0.35">
      <c r="A263" t="s">
        <v>171</v>
      </c>
      <c r="B263" t="s">
        <v>44</v>
      </c>
      <c r="C263" t="s">
        <v>69</v>
      </c>
      <c r="D263">
        <v>63</v>
      </c>
      <c r="E263">
        <v>5.5</v>
      </c>
    </row>
    <row r="264" spans="1:5" x14ac:dyDescent="0.35">
      <c r="A264" t="s">
        <v>238</v>
      </c>
      <c r="B264" t="s">
        <v>57</v>
      </c>
      <c r="C264" t="s">
        <v>69</v>
      </c>
      <c r="D264">
        <v>34</v>
      </c>
      <c r="E264">
        <v>4.5</v>
      </c>
    </row>
    <row r="265" spans="1:5" x14ac:dyDescent="0.35">
      <c r="A265" t="s">
        <v>17</v>
      </c>
      <c r="B265" t="s">
        <v>99</v>
      </c>
      <c r="C265" t="s">
        <v>70</v>
      </c>
      <c r="D265">
        <v>131</v>
      </c>
      <c r="E265">
        <v>7.5</v>
      </c>
    </row>
    <row r="266" spans="1:5" x14ac:dyDescent="0.35">
      <c r="A266" t="s">
        <v>472</v>
      </c>
      <c r="B266" t="s">
        <v>97</v>
      </c>
      <c r="C266" t="s">
        <v>72</v>
      </c>
      <c r="D266">
        <v>115</v>
      </c>
      <c r="E266">
        <v>8.5</v>
      </c>
    </row>
    <row r="267" spans="1:5" x14ac:dyDescent="0.35">
      <c r="A267" t="s">
        <v>293</v>
      </c>
      <c r="B267" t="s">
        <v>130</v>
      </c>
      <c r="C267" t="s">
        <v>69</v>
      </c>
      <c r="D267">
        <v>0</v>
      </c>
      <c r="E267">
        <v>4</v>
      </c>
    </row>
    <row r="268" spans="1:5" x14ac:dyDescent="0.35">
      <c r="A268" t="s">
        <v>318</v>
      </c>
      <c r="B268" t="s">
        <v>51</v>
      </c>
      <c r="C268" t="s">
        <v>70</v>
      </c>
      <c r="D268">
        <v>137</v>
      </c>
      <c r="E268">
        <v>7</v>
      </c>
    </row>
    <row r="269" spans="1:5" x14ac:dyDescent="0.35">
      <c r="A269" t="s">
        <v>167</v>
      </c>
      <c r="B269" t="s">
        <v>51</v>
      </c>
      <c r="C269" t="s">
        <v>69</v>
      </c>
      <c r="D269">
        <v>92</v>
      </c>
      <c r="E269">
        <v>5.5</v>
      </c>
    </row>
    <row r="270" spans="1:5" x14ac:dyDescent="0.35">
      <c r="A270" t="s">
        <v>307</v>
      </c>
      <c r="B270" t="s">
        <v>94</v>
      </c>
      <c r="C270" t="s">
        <v>70</v>
      </c>
      <c r="D270">
        <v>102</v>
      </c>
      <c r="E270">
        <v>8.5</v>
      </c>
    </row>
    <row r="271" spans="1:5" x14ac:dyDescent="0.35">
      <c r="A271" t="s">
        <v>187</v>
      </c>
      <c r="B271" t="s">
        <v>47</v>
      </c>
      <c r="C271" t="s">
        <v>69</v>
      </c>
      <c r="D271">
        <v>34</v>
      </c>
      <c r="E271">
        <v>5</v>
      </c>
    </row>
    <row r="272" spans="1:5" x14ac:dyDescent="0.35">
      <c r="A272" t="s">
        <v>302</v>
      </c>
      <c r="B272" t="s">
        <v>44</v>
      </c>
      <c r="C272" t="s">
        <v>70</v>
      </c>
      <c r="D272">
        <v>231</v>
      </c>
      <c r="E272">
        <v>11.5</v>
      </c>
    </row>
    <row r="273" spans="1:5" x14ac:dyDescent="0.35">
      <c r="A273" t="s">
        <v>249</v>
      </c>
      <c r="B273" t="s">
        <v>108</v>
      </c>
      <c r="C273" t="s">
        <v>69</v>
      </c>
      <c r="D273">
        <v>53</v>
      </c>
      <c r="E273">
        <v>4.5</v>
      </c>
    </row>
    <row r="274" spans="1:5" x14ac:dyDescent="0.35">
      <c r="A274" t="s">
        <v>400</v>
      </c>
      <c r="B274" t="s">
        <v>59</v>
      </c>
      <c r="C274" t="s">
        <v>70</v>
      </c>
      <c r="D274">
        <v>94</v>
      </c>
      <c r="E274">
        <v>5</v>
      </c>
    </row>
    <row r="275" spans="1:5" x14ac:dyDescent="0.35">
      <c r="A275" t="s">
        <v>268</v>
      </c>
      <c r="B275" t="s">
        <v>53</v>
      </c>
      <c r="C275" t="s">
        <v>69</v>
      </c>
      <c r="D275">
        <v>57</v>
      </c>
      <c r="E275">
        <v>4.5</v>
      </c>
    </row>
    <row r="276" spans="1:5" x14ac:dyDescent="0.35">
      <c r="A276" t="s">
        <v>313</v>
      </c>
      <c r="B276" t="s">
        <v>97</v>
      </c>
      <c r="C276" t="s">
        <v>70</v>
      </c>
      <c r="D276">
        <v>122</v>
      </c>
      <c r="E276">
        <v>7.5</v>
      </c>
    </row>
    <row r="277" spans="1:5" x14ac:dyDescent="0.35">
      <c r="A277" t="s">
        <v>136</v>
      </c>
      <c r="B277" t="s">
        <v>47</v>
      </c>
      <c r="C277" t="s">
        <v>71</v>
      </c>
      <c r="D277">
        <v>0</v>
      </c>
      <c r="E277">
        <v>4.5</v>
      </c>
    </row>
    <row r="278" spans="1:5" x14ac:dyDescent="0.35">
      <c r="A278" t="s">
        <v>267</v>
      </c>
      <c r="B278" t="s">
        <v>53</v>
      </c>
      <c r="C278" t="s">
        <v>69</v>
      </c>
      <c r="D278">
        <v>26</v>
      </c>
      <c r="E278">
        <v>4.5</v>
      </c>
    </row>
    <row r="279" spans="1:5" x14ac:dyDescent="0.35">
      <c r="A279" t="s">
        <v>272</v>
      </c>
      <c r="B279" t="s">
        <v>52</v>
      </c>
      <c r="C279" t="s">
        <v>69</v>
      </c>
      <c r="D279">
        <v>49</v>
      </c>
      <c r="E279">
        <v>4.5</v>
      </c>
    </row>
    <row r="280" spans="1:5" x14ac:dyDescent="0.35">
      <c r="A280" t="s">
        <v>327</v>
      </c>
      <c r="B280" t="s">
        <v>97</v>
      </c>
      <c r="C280" t="s">
        <v>70</v>
      </c>
      <c r="D280">
        <v>70</v>
      </c>
      <c r="E280">
        <v>6.5</v>
      </c>
    </row>
    <row r="281" spans="1:5" x14ac:dyDescent="0.35">
      <c r="A281" t="s">
        <v>412</v>
      </c>
      <c r="B281" t="s">
        <v>97</v>
      </c>
      <c r="C281" t="s">
        <v>70</v>
      </c>
      <c r="D281">
        <v>59</v>
      </c>
      <c r="E281">
        <v>5</v>
      </c>
    </row>
    <row r="282" spans="1:5" x14ac:dyDescent="0.35">
      <c r="A282" t="s">
        <v>170</v>
      </c>
      <c r="B282" t="s">
        <v>44</v>
      </c>
      <c r="C282" t="s">
        <v>69</v>
      </c>
      <c r="D282">
        <v>83</v>
      </c>
      <c r="E282">
        <v>5.5</v>
      </c>
    </row>
    <row r="283" spans="1:5" x14ac:dyDescent="0.35">
      <c r="A283" t="s">
        <v>221</v>
      </c>
      <c r="B283" t="s">
        <v>47</v>
      </c>
      <c r="C283" t="s">
        <v>69</v>
      </c>
      <c r="D283">
        <v>3</v>
      </c>
      <c r="E283">
        <v>4.5</v>
      </c>
    </row>
    <row r="284" spans="1:5" x14ac:dyDescent="0.35">
      <c r="A284" t="s">
        <v>370</v>
      </c>
      <c r="B284" t="s">
        <v>54</v>
      </c>
      <c r="C284" t="s">
        <v>70</v>
      </c>
      <c r="D284">
        <v>121</v>
      </c>
      <c r="E284">
        <v>5.5</v>
      </c>
    </row>
    <row r="285" spans="1:5" x14ac:dyDescent="0.35">
      <c r="A285" t="s">
        <v>132</v>
      </c>
      <c r="B285" t="s">
        <v>50</v>
      </c>
      <c r="C285" t="s">
        <v>70</v>
      </c>
      <c r="D285">
        <v>1</v>
      </c>
      <c r="E285">
        <v>4.5</v>
      </c>
    </row>
    <row r="286" spans="1:5" x14ac:dyDescent="0.35">
      <c r="A286" t="s">
        <v>132</v>
      </c>
      <c r="B286" t="s">
        <v>58</v>
      </c>
      <c r="C286" t="s">
        <v>71</v>
      </c>
      <c r="D286">
        <v>73</v>
      </c>
      <c r="E286">
        <v>4.5</v>
      </c>
    </row>
    <row r="287" spans="1:5" x14ac:dyDescent="0.35">
      <c r="A287" t="s">
        <v>361</v>
      </c>
      <c r="B287" t="s">
        <v>114</v>
      </c>
      <c r="C287" t="s">
        <v>70</v>
      </c>
      <c r="D287">
        <v>0</v>
      </c>
      <c r="E287">
        <v>5.5</v>
      </c>
    </row>
    <row r="288" spans="1:5" x14ac:dyDescent="0.35">
      <c r="A288" t="s">
        <v>505</v>
      </c>
      <c r="B288" t="s">
        <v>130</v>
      </c>
      <c r="C288" t="s">
        <v>72</v>
      </c>
      <c r="D288">
        <v>0</v>
      </c>
      <c r="E288">
        <v>5.5</v>
      </c>
    </row>
    <row r="289" spans="1:5" x14ac:dyDescent="0.35">
      <c r="A289" t="s">
        <v>144</v>
      </c>
      <c r="B289" t="s">
        <v>128</v>
      </c>
      <c r="C289" t="s">
        <v>71</v>
      </c>
      <c r="D289">
        <v>0</v>
      </c>
      <c r="E289">
        <v>4</v>
      </c>
    </row>
    <row r="290" spans="1:5" x14ac:dyDescent="0.35">
      <c r="A290" t="s">
        <v>416</v>
      </c>
      <c r="B290" t="s">
        <v>128</v>
      </c>
      <c r="C290" t="s">
        <v>70</v>
      </c>
      <c r="D290">
        <v>0</v>
      </c>
      <c r="E290">
        <v>5</v>
      </c>
    </row>
    <row r="291" spans="1:5" x14ac:dyDescent="0.35">
      <c r="A291" t="s">
        <v>341</v>
      </c>
      <c r="B291" t="s">
        <v>57</v>
      </c>
      <c r="C291" t="s">
        <v>70</v>
      </c>
      <c r="D291">
        <v>75</v>
      </c>
      <c r="E291">
        <v>6</v>
      </c>
    </row>
    <row r="292" spans="1:5" x14ac:dyDescent="0.35">
      <c r="A292" t="s">
        <v>413</v>
      </c>
      <c r="B292" t="s">
        <v>97</v>
      </c>
      <c r="C292" t="s">
        <v>70</v>
      </c>
      <c r="D292">
        <v>38</v>
      </c>
      <c r="E292">
        <v>5</v>
      </c>
    </row>
    <row r="293" spans="1:5" x14ac:dyDescent="0.35">
      <c r="A293" t="s">
        <v>192</v>
      </c>
      <c r="B293" t="s">
        <v>57</v>
      </c>
      <c r="C293" t="s">
        <v>69</v>
      </c>
      <c r="D293">
        <v>81</v>
      </c>
      <c r="E293">
        <v>5</v>
      </c>
    </row>
    <row r="294" spans="1:5" x14ac:dyDescent="0.35">
      <c r="A294" t="s">
        <v>156</v>
      </c>
      <c r="B294" t="s">
        <v>51</v>
      </c>
      <c r="C294" t="s">
        <v>70</v>
      </c>
      <c r="D294">
        <v>58</v>
      </c>
      <c r="E294">
        <v>4.5</v>
      </c>
    </row>
    <row r="295" spans="1:5" x14ac:dyDescent="0.35">
      <c r="A295" t="s">
        <v>156</v>
      </c>
      <c r="B295" t="s">
        <v>94</v>
      </c>
      <c r="C295" t="s">
        <v>69</v>
      </c>
      <c r="D295">
        <v>59</v>
      </c>
      <c r="E295">
        <v>6</v>
      </c>
    </row>
    <row r="296" spans="1:5" x14ac:dyDescent="0.35">
      <c r="A296" t="s">
        <v>235</v>
      </c>
      <c r="B296" t="s">
        <v>56</v>
      </c>
      <c r="C296" t="s">
        <v>69</v>
      </c>
      <c r="D296">
        <v>27</v>
      </c>
      <c r="E296">
        <v>4.5</v>
      </c>
    </row>
    <row r="297" spans="1:5" x14ac:dyDescent="0.35">
      <c r="A297" t="s">
        <v>368</v>
      </c>
      <c r="B297" t="s">
        <v>54</v>
      </c>
      <c r="C297" t="s">
        <v>70</v>
      </c>
      <c r="D297">
        <v>60</v>
      </c>
      <c r="E297">
        <v>5.5</v>
      </c>
    </row>
    <row r="298" spans="1:5" x14ac:dyDescent="0.35">
      <c r="A298" t="s">
        <v>125</v>
      </c>
      <c r="B298" t="s">
        <v>44</v>
      </c>
      <c r="C298" t="s">
        <v>71</v>
      </c>
      <c r="D298">
        <v>0</v>
      </c>
      <c r="E298">
        <v>4.5</v>
      </c>
    </row>
    <row r="299" spans="1:5" x14ac:dyDescent="0.35">
      <c r="A299" t="s">
        <v>317</v>
      </c>
      <c r="B299" t="s">
        <v>54</v>
      </c>
      <c r="C299" t="s">
        <v>70</v>
      </c>
      <c r="D299">
        <v>166</v>
      </c>
      <c r="E299">
        <v>7</v>
      </c>
    </row>
    <row r="300" spans="1:5" x14ac:dyDescent="0.35">
      <c r="A300" t="s">
        <v>376</v>
      </c>
      <c r="B300" t="s">
        <v>44</v>
      </c>
      <c r="C300" t="s">
        <v>70</v>
      </c>
      <c r="D300">
        <v>101</v>
      </c>
      <c r="E300">
        <v>5.5</v>
      </c>
    </row>
    <row r="301" spans="1:5" x14ac:dyDescent="0.35">
      <c r="A301" t="s">
        <v>164</v>
      </c>
      <c r="B301" t="s">
        <v>50</v>
      </c>
      <c r="C301" t="s">
        <v>69</v>
      </c>
      <c r="D301">
        <v>36</v>
      </c>
      <c r="E301">
        <v>5.5</v>
      </c>
    </row>
    <row r="302" spans="1:5" x14ac:dyDescent="0.35">
      <c r="A302" t="s">
        <v>281</v>
      </c>
      <c r="B302" t="s">
        <v>114</v>
      </c>
      <c r="C302" t="s">
        <v>69</v>
      </c>
      <c r="D302">
        <v>5</v>
      </c>
      <c r="E302">
        <v>4.5</v>
      </c>
    </row>
    <row r="303" spans="1:5" x14ac:dyDescent="0.35">
      <c r="A303" t="s">
        <v>315</v>
      </c>
      <c r="B303" t="s">
        <v>47</v>
      </c>
      <c r="C303" t="s">
        <v>70</v>
      </c>
      <c r="D303">
        <v>98</v>
      </c>
      <c r="E303">
        <v>7</v>
      </c>
    </row>
    <row r="304" spans="1:5" x14ac:dyDescent="0.35">
      <c r="A304" t="s">
        <v>188</v>
      </c>
      <c r="B304" t="s">
        <v>47</v>
      </c>
      <c r="C304" t="s">
        <v>69</v>
      </c>
      <c r="D304">
        <v>77</v>
      </c>
      <c r="E304">
        <v>5</v>
      </c>
    </row>
    <row r="305" spans="1:5" x14ac:dyDescent="0.35">
      <c r="A305" t="s">
        <v>228</v>
      </c>
      <c r="B305" t="s">
        <v>59</v>
      </c>
      <c r="C305" t="s">
        <v>69</v>
      </c>
      <c r="D305">
        <v>45</v>
      </c>
      <c r="E305">
        <v>4.5</v>
      </c>
    </row>
    <row r="306" spans="1:5" x14ac:dyDescent="0.35">
      <c r="A306" t="s">
        <v>138</v>
      </c>
      <c r="B306" t="s">
        <v>130</v>
      </c>
      <c r="C306" t="s">
        <v>71</v>
      </c>
      <c r="D306">
        <v>0</v>
      </c>
      <c r="E306">
        <v>4.5</v>
      </c>
    </row>
    <row r="307" spans="1:5" x14ac:dyDescent="0.35">
      <c r="A307" t="s">
        <v>245</v>
      </c>
      <c r="B307" t="s">
        <v>51</v>
      </c>
      <c r="C307" t="s">
        <v>69</v>
      </c>
      <c r="D307">
        <v>76</v>
      </c>
      <c r="E307">
        <v>4.5</v>
      </c>
    </row>
    <row r="308" spans="1:5" x14ac:dyDescent="0.35">
      <c r="A308" t="s">
        <v>435</v>
      </c>
      <c r="B308" t="s">
        <v>130</v>
      </c>
      <c r="C308" t="s">
        <v>70</v>
      </c>
      <c r="D308">
        <v>0</v>
      </c>
      <c r="E308">
        <v>5</v>
      </c>
    </row>
    <row r="309" spans="1:5" x14ac:dyDescent="0.35">
      <c r="A309" t="s">
        <v>358</v>
      </c>
      <c r="B309" t="s">
        <v>45</v>
      </c>
      <c r="C309" t="s">
        <v>70</v>
      </c>
      <c r="D309">
        <v>0</v>
      </c>
      <c r="E309">
        <v>6</v>
      </c>
    </row>
    <row r="310" spans="1:5" x14ac:dyDescent="0.35">
      <c r="A310" t="s">
        <v>508</v>
      </c>
      <c r="B310" t="s">
        <v>130</v>
      </c>
      <c r="C310" t="s">
        <v>72</v>
      </c>
      <c r="D310">
        <v>28</v>
      </c>
      <c r="E310">
        <v>5</v>
      </c>
    </row>
    <row r="311" spans="1:5" x14ac:dyDescent="0.35">
      <c r="A311" t="s">
        <v>389</v>
      </c>
      <c r="B311" t="s">
        <v>112</v>
      </c>
      <c r="C311" t="s">
        <v>70</v>
      </c>
      <c r="D311">
        <v>119</v>
      </c>
      <c r="E311">
        <v>5.5</v>
      </c>
    </row>
    <row r="312" spans="1:5" x14ac:dyDescent="0.35">
      <c r="A312" t="s">
        <v>486</v>
      </c>
      <c r="B312" t="s">
        <v>59</v>
      </c>
      <c r="C312" t="s">
        <v>72</v>
      </c>
      <c r="D312">
        <v>129</v>
      </c>
      <c r="E312">
        <v>6</v>
      </c>
    </row>
    <row r="313" spans="1:5" x14ac:dyDescent="0.35">
      <c r="A313" t="s">
        <v>158</v>
      </c>
      <c r="B313" t="s">
        <v>47</v>
      </c>
      <c r="C313" t="s">
        <v>69</v>
      </c>
      <c r="D313">
        <v>80</v>
      </c>
      <c r="E313">
        <v>5.5</v>
      </c>
    </row>
    <row r="314" spans="1:5" x14ac:dyDescent="0.35">
      <c r="A314" t="s">
        <v>503</v>
      </c>
      <c r="B314" t="s">
        <v>108</v>
      </c>
      <c r="C314" t="s">
        <v>72</v>
      </c>
      <c r="D314">
        <v>24</v>
      </c>
      <c r="E314">
        <v>5.5</v>
      </c>
    </row>
    <row r="315" spans="1:5" x14ac:dyDescent="0.35">
      <c r="A315" t="s">
        <v>295</v>
      </c>
      <c r="B315" t="s">
        <v>53</v>
      </c>
      <c r="C315" t="s">
        <v>69</v>
      </c>
      <c r="D315">
        <v>2</v>
      </c>
      <c r="E315">
        <v>4</v>
      </c>
    </row>
    <row r="316" spans="1:5" x14ac:dyDescent="0.35">
      <c r="A316" t="s">
        <v>410</v>
      </c>
      <c r="B316" t="s">
        <v>51</v>
      </c>
      <c r="C316" t="s">
        <v>70</v>
      </c>
      <c r="D316">
        <v>89</v>
      </c>
      <c r="E316">
        <v>5</v>
      </c>
    </row>
    <row r="317" spans="1:5" x14ac:dyDescent="0.35">
      <c r="A317" t="s">
        <v>357</v>
      </c>
      <c r="B317" t="s">
        <v>99</v>
      </c>
      <c r="C317" t="s">
        <v>70</v>
      </c>
      <c r="D317">
        <v>0</v>
      </c>
      <c r="E317">
        <v>6</v>
      </c>
    </row>
    <row r="318" spans="1:5" x14ac:dyDescent="0.35">
      <c r="A318" t="s">
        <v>388</v>
      </c>
      <c r="B318" t="s">
        <v>112</v>
      </c>
      <c r="C318" t="s">
        <v>70</v>
      </c>
      <c r="D318">
        <v>104</v>
      </c>
      <c r="E318">
        <v>5.5</v>
      </c>
    </row>
    <row r="319" spans="1:5" x14ac:dyDescent="0.35">
      <c r="A319" t="s">
        <v>512</v>
      </c>
      <c r="B319" t="s">
        <v>47</v>
      </c>
      <c r="C319" t="s">
        <v>72</v>
      </c>
      <c r="D319">
        <v>10</v>
      </c>
      <c r="E319">
        <v>4.5</v>
      </c>
    </row>
    <row r="320" spans="1:5" x14ac:dyDescent="0.35">
      <c r="A320" t="s">
        <v>429</v>
      </c>
      <c r="B320" t="s">
        <v>52</v>
      </c>
      <c r="C320" t="s">
        <v>70</v>
      </c>
      <c r="D320">
        <v>99</v>
      </c>
      <c r="E320">
        <v>5</v>
      </c>
    </row>
    <row r="321" spans="1:5" x14ac:dyDescent="0.35">
      <c r="A321" s="5" t="s">
        <v>145</v>
      </c>
      <c r="B321" s="5" t="s">
        <v>112</v>
      </c>
      <c r="C321" s="5" t="s">
        <v>71</v>
      </c>
      <c r="D321" s="5">
        <v>1</v>
      </c>
      <c r="E321" s="5">
        <v>4</v>
      </c>
    </row>
    <row r="322" spans="1:5" x14ac:dyDescent="0.35">
      <c r="A322" t="s">
        <v>418</v>
      </c>
      <c r="B322" t="s">
        <v>130</v>
      </c>
      <c r="C322" t="s">
        <v>70</v>
      </c>
      <c r="D322">
        <v>0</v>
      </c>
      <c r="E322">
        <v>5</v>
      </c>
    </row>
    <row r="323" spans="1:5" x14ac:dyDescent="0.35">
      <c r="A323" t="s">
        <v>113</v>
      </c>
      <c r="B323" t="s">
        <v>114</v>
      </c>
      <c r="C323" t="s">
        <v>71</v>
      </c>
      <c r="D323">
        <v>0</v>
      </c>
      <c r="E323">
        <v>4.5</v>
      </c>
    </row>
    <row r="324" spans="1:5" x14ac:dyDescent="0.35">
      <c r="A324" t="s">
        <v>510</v>
      </c>
      <c r="B324" t="s">
        <v>58</v>
      </c>
      <c r="C324" t="s">
        <v>72</v>
      </c>
      <c r="D324">
        <v>13</v>
      </c>
      <c r="E324">
        <v>5</v>
      </c>
    </row>
    <row r="325" spans="1:5" x14ac:dyDescent="0.35">
      <c r="A325" t="s">
        <v>463</v>
      </c>
      <c r="B325" t="s">
        <v>52</v>
      </c>
      <c r="C325" t="s">
        <v>70</v>
      </c>
      <c r="D325">
        <v>43</v>
      </c>
      <c r="E325">
        <v>4.5</v>
      </c>
    </row>
    <row r="326" spans="1:5" x14ac:dyDescent="0.35">
      <c r="A326" t="s">
        <v>259</v>
      </c>
      <c r="B326" t="s">
        <v>130</v>
      </c>
      <c r="C326" t="s">
        <v>69</v>
      </c>
      <c r="D326">
        <v>0</v>
      </c>
      <c r="E326">
        <v>4.5</v>
      </c>
    </row>
    <row r="327" spans="1:5" x14ac:dyDescent="0.35">
      <c r="A327" t="s">
        <v>271</v>
      </c>
      <c r="B327" t="s">
        <v>52</v>
      </c>
      <c r="C327" t="s">
        <v>69</v>
      </c>
      <c r="D327">
        <v>48</v>
      </c>
      <c r="E327">
        <v>4.5</v>
      </c>
    </row>
    <row r="328" spans="1:5" x14ac:dyDescent="0.35">
      <c r="A328" t="s">
        <v>502</v>
      </c>
      <c r="B328" t="s">
        <v>44</v>
      </c>
      <c r="C328" t="s">
        <v>72</v>
      </c>
      <c r="D328">
        <v>32</v>
      </c>
      <c r="E328">
        <v>5.5</v>
      </c>
    </row>
    <row r="329" spans="1:5" x14ac:dyDescent="0.35">
      <c r="A329" t="s">
        <v>15</v>
      </c>
      <c r="B329" t="s">
        <v>58</v>
      </c>
      <c r="C329" t="s">
        <v>70</v>
      </c>
      <c r="D329">
        <v>55</v>
      </c>
      <c r="E329">
        <v>4.5</v>
      </c>
    </row>
    <row r="330" spans="1:5" x14ac:dyDescent="0.35">
      <c r="A330" t="s">
        <v>175</v>
      </c>
      <c r="B330" t="s">
        <v>94</v>
      </c>
      <c r="C330" t="s">
        <v>69</v>
      </c>
      <c r="D330">
        <v>70</v>
      </c>
      <c r="E330">
        <v>5.5</v>
      </c>
    </row>
    <row r="331" spans="1:5" x14ac:dyDescent="0.35">
      <c r="A331" t="s">
        <v>311</v>
      </c>
      <c r="B331" t="s">
        <v>47</v>
      </c>
      <c r="C331" t="s">
        <v>70</v>
      </c>
      <c r="D331">
        <v>89</v>
      </c>
      <c r="E331">
        <v>7.5</v>
      </c>
    </row>
    <row r="332" spans="1:5" x14ac:dyDescent="0.35">
      <c r="A332" t="s">
        <v>111</v>
      </c>
      <c r="B332" t="s">
        <v>112</v>
      </c>
      <c r="C332" t="s">
        <v>71</v>
      </c>
      <c r="D332">
        <v>118</v>
      </c>
      <c r="E332">
        <v>5</v>
      </c>
    </row>
    <row r="333" spans="1:5" x14ac:dyDescent="0.35">
      <c r="A333" t="s">
        <v>19</v>
      </c>
      <c r="B333" t="s">
        <v>45</v>
      </c>
      <c r="C333" t="s">
        <v>70</v>
      </c>
      <c r="D333">
        <v>112</v>
      </c>
      <c r="E333">
        <v>7</v>
      </c>
    </row>
    <row r="334" spans="1:5" x14ac:dyDescent="0.35">
      <c r="A334" t="s">
        <v>154</v>
      </c>
      <c r="B334" t="s">
        <v>97</v>
      </c>
      <c r="C334" t="s">
        <v>70</v>
      </c>
      <c r="D334">
        <v>27</v>
      </c>
      <c r="E334">
        <v>5</v>
      </c>
    </row>
    <row r="335" spans="1:5" x14ac:dyDescent="0.35">
      <c r="A335" t="s">
        <v>154</v>
      </c>
      <c r="B335" t="s">
        <v>51</v>
      </c>
      <c r="C335" t="s">
        <v>69</v>
      </c>
      <c r="D335">
        <v>146</v>
      </c>
      <c r="E335">
        <v>6</v>
      </c>
    </row>
    <row r="336" spans="1:5" x14ac:dyDescent="0.35">
      <c r="A336" t="s">
        <v>354</v>
      </c>
      <c r="B336" t="s">
        <v>53</v>
      </c>
      <c r="C336" t="s">
        <v>70</v>
      </c>
      <c r="D336">
        <v>122</v>
      </c>
      <c r="E336">
        <v>6</v>
      </c>
    </row>
    <row r="337" spans="1:5" x14ac:dyDescent="0.35">
      <c r="A337" t="s">
        <v>328</v>
      </c>
      <c r="B337" t="s">
        <v>51</v>
      </c>
      <c r="C337" t="s">
        <v>70</v>
      </c>
      <c r="D337">
        <v>141</v>
      </c>
      <c r="E337">
        <v>6.5</v>
      </c>
    </row>
    <row r="338" spans="1:5" x14ac:dyDescent="0.35">
      <c r="A338" t="s">
        <v>95</v>
      </c>
      <c r="B338" t="s">
        <v>50</v>
      </c>
      <c r="C338" t="s">
        <v>71</v>
      </c>
      <c r="D338">
        <v>161</v>
      </c>
      <c r="E338">
        <v>5.5</v>
      </c>
    </row>
    <row r="339" spans="1:5" x14ac:dyDescent="0.35">
      <c r="A339" t="s">
        <v>283</v>
      </c>
      <c r="B339" t="s">
        <v>57</v>
      </c>
      <c r="C339" t="s">
        <v>69</v>
      </c>
      <c r="D339">
        <v>0</v>
      </c>
      <c r="E339">
        <v>4.5</v>
      </c>
    </row>
    <row r="340" spans="1:5" x14ac:dyDescent="0.35">
      <c r="A340" t="s">
        <v>308</v>
      </c>
      <c r="B340" t="s">
        <v>97</v>
      </c>
      <c r="C340" t="s">
        <v>70</v>
      </c>
      <c r="D340">
        <v>179</v>
      </c>
      <c r="E340">
        <v>8.5</v>
      </c>
    </row>
    <row r="341" spans="1:5" x14ac:dyDescent="0.35">
      <c r="A341" t="s">
        <v>119</v>
      </c>
      <c r="B341" t="s">
        <v>57</v>
      </c>
      <c r="C341" t="s">
        <v>71</v>
      </c>
      <c r="D341">
        <v>0</v>
      </c>
      <c r="E341">
        <v>4.5</v>
      </c>
    </row>
    <row r="342" spans="1:5" x14ac:dyDescent="0.35">
      <c r="A342" t="s">
        <v>296</v>
      </c>
      <c r="B342" t="s">
        <v>53</v>
      </c>
      <c r="C342" t="s">
        <v>69</v>
      </c>
      <c r="D342">
        <v>1</v>
      </c>
      <c r="E342">
        <v>4</v>
      </c>
    </row>
    <row r="343" spans="1:5" x14ac:dyDescent="0.35">
      <c r="A343" t="s">
        <v>399</v>
      </c>
      <c r="B343" t="s">
        <v>59</v>
      </c>
      <c r="C343" t="s">
        <v>70</v>
      </c>
      <c r="D343">
        <v>72</v>
      </c>
      <c r="E343">
        <v>5</v>
      </c>
    </row>
    <row r="344" spans="1:5" x14ac:dyDescent="0.35">
      <c r="A344" t="s">
        <v>483</v>
      </c>
      <c r="B344" t="s">
        <v>128</v>
      </c>
      <c r="C344" t="s">
        <v>72</v>
      </c>
      <c r="D344">
        <v>0</v>
      </c>
      <c r="E344">
        <v>6.5</v>
      </c>
    </row>
    <row r="345" spans="1:5" x14ac:dyDescent="0.35">
      <c r="A345" t="s">
        <v>314</v>
      </c>
      <c r="B345" t="s">
        <v>45</v>
      </c>
      <c r="C345" t="s">
        <v>70</v>
      </c>
      <c r="D345">
        <v>0</v>
      </c>
      <c r="E345">
        <v>7.5</v>
      </c>
    </row>
    <row r="346" spans="1:5" x14ac:dyDescent="0.35">
      <c r="A346" t="s">
        <v>460</v>
      </c>
      <c r="B346" t="s">
        <v>53</v>
      </c>
      <c r="C346" t="s">
        <v>70</v>
      </c>
      <c r="D346">
        <v>17</v>
      </c>
      <c r="E346">
        <v>4.5</v>
      </c>
    </row>
    <row r="347" spans="1:5" x14ac:dyDescent="0.35">
      <c r="A347" t="s">
        <v>294</v>
      </c>
      <c r="B347" t="s">
        <v>58</v>
      </c>
      <c r="C347" t="s">
        <v>69</v>
      </c>
      <c r="D347">
        <v>1</v>
      </c>
      <c r="E347">
        <v>4</v>
      </c>
    </row>
    <row r="348" spans="1:5" x14ac:dyDescent="0.35">
      <c r="A348" t="s">
        <v>473</v>
      </c>
      <c r="B348" t="s">
        <v>97</v>
      </c>
      <c r="C348" t="s">
        <v>72</v>
      </c>
      <c r="D348">
        <v>128</v>
      </c>
      <c r="E348">
        <v>8.5</v>
      </c>
    </row>
    <row r="349" spans="1:5" x14ac:dyDescent="0.35">
      <c r="A349" t="s">
        <v>330</v>
      </c>
      <c r="B349" t="s">
        <v>58</v>
      </c>
      <c r="C349" t="s">
        <v>70</v>
      </c>
      <c r="D349">
        <v>137</v>
      </c>
      <c r="E349">
        <v>6.5</v>
      </c>
    </row>
    <row r="350" spans="1:5" x14ac:dyDescent="0.35">
      <c r="A350" t="s">
        <v>297</v>
      </c>
      <c r="B350" t="s">
        <v>52</v>
      </c>
      <c r="C350" t="s">
        <v>69</v>
      </c>
      <c r="D350">
        <v>0</v>
      </c>
      <c r="E350">
        <v>4</v>
      </c>
    </row>
    <row r="351" spans="1:5" x14ac:dyDescent="0.35">
      <c r="A351" t="s">
        <v>428</v>
      </c>
      <c r="B351" t="s">
        <v>52</v>
      </c>
      <c r="C351" t="s">
        <v>70</v>
      </c>
      <c r="D351">
        <v>92</v>
      </c>
      <c r="E351">
        <v>5</v>
      </c>
    </row>
    <row r="352" spans="1:5" x14ac:dyDescent="0.35">
      <c r="A352" t="s">
        <v>13</v>
      </c>
      <c r="B352" t="s">
        <v>50</v>
      </c>
      <c r="C352" t="s">
        <v>70</v>
      </c>
      <c r="D352">
        <v>153</v>
      </c>
      <c r="E352">
        <v>8</v>
      </c>
    </row>
    <row r="353" spans="1:5" x14ac:dyDescent="0.35">
      <c r="A353" t="s">
        <v>288</v>
      </c>
      <c r="B353" t="s">
        <v>56</v>
      </c>
      <c r="C353" t="s">
        <v>69</v>
      </c>
      <c r="D353">
        <v>8</v>
      </c>
      <c r="E353">
        <v>4</v>
      </c>
    </row>
    <row r="354" spans="1:5" x14ac:dyDescent="0.35">
      <c r="A354" t="s">
        <v>180</v>
      </c>
      <c r="B354" t="s">
        <v>108</v>
      </c>
      <c r="C354" t="s">
        <v>69</v>
      </c>
      <c r="D354">
        <v>110</v>
      </c>
      <c r="E354">
        <v>5.5</v>
      </c>
    </row>
    <row r="355" spans="1:5" x14ac:dyDescent="0.35">
      <c r="A355" t="s">
        <v>140</v>
      </c>
      <c r="B355" t="s">
        <v>52</v>
      </c>
      <c r="C355" t="s">
        <v>71</v>
      </c>
      <c r="D355">
        <v>0</v>
      </c>
      <c r="E355">
        <v>4.5</v>
      </c>
    </row>
    <row r="356" spans="1:5" x14ac:dyDescent="0.35">
      <c r="A356" t="s">
        <v>391</v>
      </c>
      <c r="B356" t="s">
        <v>128</v>
      </c>
      <c r="C356" t="s">
        <v>70</v>
      </c>
      <c r="D356">
        <v>0</v>
      </c>
      <c r="E356">
        <v>5.5</v>
      </c>
    </row>
    <row r="357" spans="1:5" x14ac:dyDescent="0.35">
      <c r="A357" s="5" t="s">
        <v>146</v>
      </c>
      <c r="B357" s="5" t="s">
        <v>44</v>
      </c>
      <c r="C357" s="5" t="s">
        <v>69</v>
      </c>
      <c r="D357" s="5">
        <v>213</v>
      </c>
      <c r="E357" s="5">
        <v>7</v>
      </c>
    </row>
    <row r="358" spans="1:5" x14ac:dyDescent="0.35">
      <c r="A358" t="s">
        <v>394</v>
      </c>
      <c r="B358" t="s">
        <v>130</v>
      </c>
      <c r="C358" t="s">
        <v>70</v>
      </c>
      <c r="D358">
        <v>0</v>
      </c>
      <c r="E358">
        <v>5.5</v>
      </c>
    </row>
    <row r="359" spans="1:5" x14ac:dyDescent="0.35">
      <c r="A359" t="s">
        <v>393</v>
      </c>
      <c r="B359" t="s">
        <v>94</v>
      </c>
      <c r="C359" t="s">
        <v>70</v>
      </c>
      <c r="D359">
        <v>0</v>
      </c>
      <c r="E359">
        <v>5.5</v>
      </c>
    </row>
    <row r="360" spans="1:5" x14ac:dyDescent="0.35">
      <c r="A360" t="s">
        <v>497</v>
      </c>
      <c r="B360" t="s">
        <v>57</v>
      </c>
      <c r="C360" t="s">
        <v>72</v>
      </c>
      <c r="D360">
        <v>0</v>
      </c>
      <c r="E360">
        <v>6</v>
      </c>
    </row>
    <row r="361" spans="1:5" x14ac:dyDescent="0.35">
      <c r="A361" t="s">
        <v>200</v>
      </c>
      <c r="B361" t="s">
        <v>97</v>
      </c>
      <c r="C361" t="s">
        <v>69</v>
      </c>
      <c r="D361">
        <v>2</v>
      </c>
      <c r="E361">
        <v>5</v>
      </c>
    </row>
    <row r="362" spans="1:5" x14ac:dyDescent="0.35">
      <c r="A362" t="s">
        <v>105</v>
      </c>
      <c r="B362" t="s">
        <v>97</v>
      </c>
      <c r="C362" t="s">
        <v>71</v>
      </c>
      <c r="D362">
        <v>0</v>
      </c>
      <c r="E362">
        <v>5</v>
      </c>
    </row>
    <row r="363" spans="1:5" x14ac:dyDescent="0.35">
      <c r="A363" t="s">
        <v>184</v>
      </c>
      <c r="B363" t="s">
        <v>99</v>
      </c>
      <c r="C363" t="s">
        <v>69</v>
      </c>
      <c r="D363">
        <v>86</v>
      </c>
      <c r="E363">
        <v>5.5</v>
      </c>
    </row>
    <row r="364" spans="1:5" x14ac:dyDescent="0.35">
      <c r="A364" t="s">
        <v>135</v>
      </c>
      <c r="B364" t="s">
        <v>112</v>
      </c>
      <c r="C364" t="s">
        <v>71</v>
      </c>
      <c r="D364">
        <v>7</v>
      </c>
      <c r="E364">
        <v>4.5</v>
      </c>
    </row>
    <row r="365" spans="1:5" x14ac:dyDescent="0.35">
      <c r="A365" t="s">
        <v>151</v>
      </c>
      <c r="B365" t="s">
        <v>45</v>
      </c>
      <c r="C365" t="s">
        <v>69</v>
      </c>
      <c r="D365">
        <v>116</v>
      </c>
      <c r="E365">
        <v>6</v>
      </c>
    </row>
    <row r="366" spans="1:5" x14ac:dyDescent="0.35">
      <c r="A366" t="s">
        <v>115</v>
      </c>
      <c r="B366" t="s">
        <v>59</v>
      </c>
      <c r="C366" t="s">
        <v>71</v>
      </c>
      <c r="D366">
        <v>104</v>
      </c>
      <c r="E366">
        <v>4.5</v>
      </c>
    </row>
    <row r="367" spans="1:5" x14ac:dyDescent="0.35">
      <c r="A367" t="s">
        <v>278</v>
      </c>
      <c r="B367" t="s">
        <v>112</v>
      </c>
      <c r="C367" t="s">
        <v>69</v>
      </c>
      <c r="D367">
        <v>47</v>
      </c>
      <c r="E367">
        <v>4.5</v>
      </c>
    </row>
    <row r="368" spans="1:5" x14ac:dyDescent="0.35">
      <c r="A368" t="s">
        <v>196</v>
      </c>
      <c r="B368" t="s">
        <v>54</v>
      </c>
      <c r="C368" t="s">
        <v>69</v>
      </c>
      <c r="D368">
        <v>88</v>
      </c>
      <c r="E368">
        <v>5</v>
      </c>
    </row>
    <row r="369" spans="1:5" x14ac:dyDescent="0.35">
      <c r="A369" s="5" t="s">
        <v>300</v>
      </c>
      <c r="B369" s="5" t="s">
        <v>44</v>
      </c>
      <c r="C369" s="5" t="s">
        <v>70</v>
      </c>
      <c r="D369" s="5">
        <v>259</v>
      </c>
      <c r="E369" s="5">
        <v>12.5</v>
      </c>
    </row>
    <row r="370" spans="1:5" x14ac:dyDescent="0.35">
      <c r="A370" t="s">
        <v>185</v>
      </c>
      <c r="B370" t="s">
        <v>97</v>
      </c>
      <c r="C370" t="s">
        <v>70</v>
      </c>
      <c r="D370">
        <v>47</v>
      </c>
      <c r="E370">
        <v>7</v>
      </c>
    </row>
    <row r="371" spans="1:5" x14ac:dyDescent="0.35">
      <c r="A371" t="s">
        <v>185</v>
      </c>
      <c r="B371" t="s">
        <v>99</v>
      </c>
      <c r="C371" t="s">
        <v>69</v>
      </c>
      <c r="D371">
        <v>78</v>
      </c>
      <c r="E371">
        <v>5.5</v>
      </c>
    </row>
    <row r="372" spans="1:5" x14ac:dyDescent="0.35">
      <c r="A372" t="s">
        <v>304</v>
      </c>
      <c r="B372" t="s">
        <v>94</v>
      </c>
      <c r="C372" t="s">
        <v>70</v>
      </c>
      <c r="D372">
        <v>156</v>
      </c>
      <c r="E372">
        <v>9.5</v>
      </c>
    </row>
    <row r="373" spans="1:5" x14ac:dyDescent="0.35">
      <c r="A373" t="s">
        <v>205</v>
      </c>
      <c r="B373" t="s">
        <v>108</v>
      </c>
      <c r="C373" t="s">
        <v>69</v>
      </c>
      <c r="D373">
        <v>93</v>
      </c>
      <c r="E373">
        <v>5</v>
      </c>
    </row>
    <row r="374" spans="1:5" x14ac:dyDescent="0.35">
      <c r="A374" t="s">
        <v>369</v>
      </c>
      <c r="B374" t="s">
        <v>54</v>
      </c>
      <c r="C374" t="s">
        <v>70</v>
      </c>
      <c r="D374">
        <v>91</v>
      </c>
      <c r="E374">
        <v>5.5</v>
      </c>
    </row>
    <row r="375" spans="1:5" x14ac:dyDescent="0.35">
      <c r="A375" t="s">
        <v>103</v>
      </c>
      <c r="B375" t="s">
        <v>51</v>
      </c>
      <c r="C375" t="s">
        <v>71</v>
      </c>
      <c r="D375">
        <v>120</v>
      </c>
      <c r="E375">
        <v>5</v>
      </c>
    </row>
    <row r="376" spans="1:5" x14ac:dyDescent="0.35">
      <c r="A376" t="s">
        <v>445</v>
      </c>
      <c r="B376" t="s">
        <v>50</v>
      </c>
      <c r="C376" t="s">
        <v>70</v>
      </c>
      <c r="D376">
        <v>28</v>
      </c>
      <c r="E376">
        <v>4.5</v>
      </c>
    </row>
    <row r="377" spans="1:5" x14ac:dyDescent="0.35">
      <c r="A377" t="s">
        <v>425</v>
      </c>
      <c r="B377" t="s">
        <v>53</v>
      </c>
      <c r="C377" t="s">
        <v>70</v>
      </c>
      <c r="D377">
        <v>37</v>
      </c>
      <c r="E377">
        <v>5</v>
      </c>
    </row>
    <row r="378" spans="1:5" x14ac:dyDescent="0.35">
      <c r="A378" t="s">
        <v>325</v>
      </c>
      <c r="B378" t="s">
        <v>44</v>
      </c>
      <c r="C378" t="s">
        <v>70</v>
      </c>
      <c r="D378">
        <v>88</v>
      </c>
      <c r="E378">
        <v>6.5</v>
      </c>
    </row>
    <row r="379" spans="1:5" x14ac:dyDescent="0.35">
      <c r="A379" t="s">
        <v>491</v>
      </c>
      <c r="B379" t="s">
        <v>130</v>
      </c>
      <c r="C379" t="s">
        <v>72</v>
      </c>
      <c r="D379">
        <v>0</v>
      </c>
      <c r="E379">
        <v>6</v>
      </c>
    </row>
    <row r="380" spans="1:5" x14ac:dyDescent="0.35">
      <c r="A380" t="s">
        <v>179</v>
      </c>
      <c r="B380" t="s">
        <v>97</v>
      </c>
      <c r="C380" t="s">
        <v>69</v>
      </c>
      <c r="D380">
        <v>91</v>
      </c>
      <c r="E380">
        <v>5.5</v>
      </c>
    </row>
    <row r="381" spans="1:5" x14ac:dyDescent="0.35">
      <c r="A381" t="s">
        <v>414</v>
      </c>
      <c r="B381" t="s">
        <v>108</v>
      </c>
      <c r="C381" t="s">
        <v>70</v>
      </c>
      <c r="D381">
        <v>39</v>
      </c>
      <c r="E381">
        <v>5</v>
      </c>
    </row>
    <row r="382" spans="1:5" x14ac:dyDescent="0.35">
      <c r="A382" t="s">
        <v>310</v>
      </c>
      <c r="B382" t="s">
        <v>50</v>
      </c>
      <c r="C382" t="s">
        <v>70</v>
      </c>
      <c r="D382">
        <v>182</v>
      </c>
      <c r="E382">
        <v>8</v>
      </c>
    </row>
    <row r="383" spans="1:5" x14ac:dyDescent="0.35">
      <c r="A383" t="s">
        <v>289</v>
      </c>
      <c r="B383" t="s">
        <v>56</v>
      </c>
      <c r="C383" t="s">
        <v>69</v>
      </c>
      <c r="D383">
        <v>10</v>
      </c>
      <c r="E383">
        <v>4</v>
      </c>
    </row>
    <row r="384" spans="1:5" x14ac:dyDescent="0.35">
      <c r="A384" t="s">
        <v>422</v>
      </c>
      <c r="B384" t="s">
        <v>99</v>
      </c>
      <c r="C384" t="s">
        <v>70</v>
      </c>
      <c r="D384">
        <v>76</v>
      </c>
      <c r="E384">
        <v>5</v>
      </c>
    </row>
    <row r="385" spans="1:5" x14ac:dyDescent="0.35">
      <c r="A385" t="s">
        <v>458</v>
      </c>
      <c r="B385" t="s">
        <v>99</v>
      </c>
      <c r="C385" t="s">
        <v>70</v>
      </c>
      <c r="D385">
        <v>12</v>
      </c>
      <c r="E385">
        <v>4.5</v>
      </c>
    </row>
    <row r="386" spans="1:5" x14ac:dyDescent="0.35">
      <c r="A386" t="s">
        <v>456</v>
      </c>
      <c r="B386" t="s">
        <v>58</v>
      </c>
      <c r="C386" t="s">
        <v>70</v>
      </c>
      <c r="D386">
        <v>4</v>
      </c>
      <c r="E386">
        <v>4.5</v>
      </c>
    </row>
    <row r="387" spans="1:5" x14ac:dyDescent="0.35">
      <c r="A387" t="s">
        <v>176</v>
      </c>
      <c r="B387" t="s">
        <v>97</v>
      </c>
      <c r="C387" t="s">
        <v>69</v>
      </c>
      <c r="D387">
        <v>56</v>
      </c>
      <c r="E387">
        <v>5.5</v>
      </c>
    </row>
    <row r="388" spans="1:5" x14ac:dyDescent="0.35">
      <c r="A388" t="s">
        <v>387</v>
      </c>
      <c r="B388" t="s">
        <v>52</v>
      </c>
      <c r="C388" t="s">
        <v>70</v>
      </c>
      <c r="D388">
        <v>85</v>
      </c>
      <c r="E388">
        <v>5.5</v>
      </c>
    </row>
    <row r="389" spans="1:5" x14ac:dyDescent="0.35">
      <c r="A389" t="s">
        <v>23</v>
      </c>
      <c r="B389" t="s">
        <v>47</v>
      </c>
      <c r="C389" t="s">
        <v>69</v>
      </c>
      <c r="D389">
        <v>64</v>
      </c>
      <c r="E389">
        <v>5</v>
      </c>
    </row>
    <row r="390" spans="1:5" x14ac:dyDescent="0.35">
      <c r="A390" t="s">
        <v>500</v>
      </c>
      <c r="B390" t="s">
        <v>56</v>
      </c>
      <c r="C390" t="s">
        <v>72</v>
      </c>
      <c r="D390">
        <v>15</v>
      </c>
      <c r="E390">
        <v>5.5</v>
      </c>
    </row>
    <row r="391" spans="1:5" x14ac:dyDescent="0.35">
      <c r="A391" t="s">
        <v>305</v>
      </c>
      <c r="B391" t="s">
        <v>99</v>
      </c>
      <c r="C391" t="s">
        <v>70</v>
      </c>
      <c r="D391">
        <v>159</v>
      </c>
      <c r="E391">
        <v>9.5</v>
      </c>
    </row>
    <row r="392" spans="1:5" x14ac:dyDescent="0.35">
      <c r="A392" t="s">
        <v>244</v>
      </c>
      <c r="B392" t="s">
        <v>51</v>
      </c>
      <c r="C392" t="s">
        <v>69</v>
      </c>
      <c r="D392">
        <v>9</v>
      </c>
      <c r="E392">
        <v>4.5</v>
      </c>
    </row>
    <row r="393" spans="1:5" x14ac:dyDescent="0.35">
      <c r="A393" t="s">
        <v>504</v>
      </c>
      <c r="B393" t="s">
        <v>128</v>
      </c>
      <c r="C393" t="s">
        <v>72</v>
      </c>
      <c r="D393">
        <v>0</v>
      </c>
      <c r="E393">
        <v>5.5</v>
      </c>
    </row>
    <row r="394" spans="1:5" x14ac:dyDescent="0.35">
      <c r="A394" t="s">
        <v>282</v>
      </c>
      <c r="B394" t="s">
        <v>56</v>
      </c>
      <c r="C394" t="s">
        <v>69</v>
      </c>
      <c r="D394">
        <v>0</v>
      </c>
      <c r="E394">
        <v>4.5</v>
      </c>
    </row>
    <row r="395" spans="1:5" x14ac:dyDescent="0.35">
      <c r="A395" t="s">
        <v>339</v>
      </c>
      <c r="B395" t="s">
        <v>56</v>
      </c>
      <c r="C395" t="s">
        <v>70</v>
      </c>
      <c r="D395">
        <v>56</v>
      </c>
      <c r="E395">
        <v>6</v>
      </c>
    </row>
    <row r="396" spans="1:5" x14ac:dyDescent="0.35">
      <c r="A396" t="s">
        <v>292</v>
      </c>
      <c r="B396" t="s">
        <v>130</v>
      </c>
      <c r="C396" t="s">
        <v>69</v>
      </c>
      <c r="D396">
        <v>0</v>
      </c>
      <c r="E396">
        <v>4</v>
      </c>
    </row>
    <row r="397" spans="1:5" x14ac:dyDescent="0.35">
      <c r="A397" t="s">
        <v>137</v>
      </c>
      <c r="B397" t="s">
        <v>114</v>
      </c>
      <c r="C397" t="s">
        <v>71</v>
      </c>
      <c r="D397">
        <v>0</v>
      </c>
      <c r="E397">
        <v>4.5</v>
      </c>
    </row>
    <row r="398" spans="1:5" x14ac:dyDescent="0.35">
      <c r="A398" t="s">
        <v>142</v>
      </c>
      <c r="B398" t="s">
        <v>50</v>
      </c>
      <c r="C398" t="s">
        <v>71</v>
      </c>
      <c r="D398">
        <v>0</v>
      </c>
      <c r="E398">
        <v>4</v>
      </c>
    </row>
    <row r="399" spans="1:5" x14ac:dyDescent="0.35">
      <c r="A399" t="s">
        <v>263</v>
      </c>
      <c r="B399" t="s">
        <v>59</v>
      </c>
      <c r="C399" t="s">
        <v>70</v>
      </c>
      <c r="D399">
        <v>65</v>
      </c>
      <c r="E399">
        <v>4.5</v>
      </c>
    </row>
    <row r="400" spans="1:5" x14ac:dyDescent="0.35">
      <c r="A400" t="s">
        <v>263</v>
      </c>
      <c r="B400" t="s">
        <v>58</v>
      </c>
      <c r="C400" t="s">
        <v>69</v>
      </c>
      <c r="D400">
        <v>47</v>
      </c>
      <c r="E400">
        <v>4.5</v>
      </c>
    </row>
    <row r="401" spans="1:5" x14ac:dyDescent="0.35">
      <c r="A401" t="s">
        <v>301</v>
      </c>
      <c r="B401" t="s">
        <v>94</v>
      </c>
      <c r="C401" t="s">
        <v>70</v>
      </c>
      <c r="D401">
        <v>234</v>
      </c>
      <c r="E401">
        <v>12</v>
      </c>
    </row>
    <row r="402" spans="1:5" x14ac:dyDescent="0.35">
      <c r="A402" t="s">
        <v>24</v>
      </c>
      <c r="B402" t="s">
        <v>56</v>
      </c>
      <c r="C402" t="s">
        <v>69</v>
      </c>
      <c r="D402">
        <v>85</v>
      </c>
      <c r="E402">
        <v>5</v>
      </c>
    </row>
    <row r="403" spans="1:5" x14ac:dyDescent="0.35">
      <c r="A403" t="s">
        <v>206</v>
      </c>
      <c r="B403" t="s">
        <v>130</v>
      </c>
      <c r="C403" t="s">
        <v>69</v>
      </c>
      <c r="D403">
        <v>0</v>
      </c>
      <c r="E403">
        <v>5</v>
      </c>
    </row>
    <row r="404" spans="1:5" x14ac:dyDescent="0.35">
      <c r="A404" t="s">
        <v>382</v>
      </c>
      <c r="B404" t="s">
        <v>128</v>
      </c>
      <c r="C404" t="s">
        <v>70</v>
      </c>
      <c r="D404">
        <v>0</v>
      </c>
      <c r="E404">
        <v>5.5</v>
      </c>
    </row>
    <row r="405" spans="1:5" x14ac:dyDescent="0.35">
      <c r="A405" t="s">
        <v>174</v>
      </c>
      <c r="B405" t="s">
        <v>94</v>
      </c>
      <c r="C405" t="s">
        <v>69</v>
      </c>
      <c r="D405">
        <v>83</v>
      </c>
      <c r="E405">
        <v>5.5</v>
      </c>
    </row>
    <row r="406" spans="1:5" x14ac:dyDescent="0.35">
      <c r="A406" t="s">
        <v>511</v>
      </c>
      <c r="B406" t="s">
        <v>53</v>
      </c>
      <c r="C406" t="s">
        <v>72</v>
      </c>
      <c r="D406">
        <v>42</v>
      </c>
      <c r="E406">
        <v>5</v>
      </c>
    </row>
    <row r="407" spans="1:5" x14ac:dyDescent="0.35">
      <c r="A407" t="s">
        <v>402</v>
      </c>
      <c r="B407" t="s">
        <v>56</v>
      </c>
      <c r="C407" t="s">
        <v>70</v>
      </c>
      <c r="D407">
        <v>36</v>
      </c>
      <c r="E407">
        <v>5</v>
      </c>
    </row>
    <row r="408" spans="1:5" x14ac:dyDescent="0.35">
      <c r="A408" t="s">
        <v>513</v>
      </c>
      <c r="B408" t="s">
        <v>56</v>
      </c>
      <c r="C408" t="s">
        <v>72</v>
      </c>
      <c r="D408">
        <v>2</v>
      </c>
      <c r="E408">
        <v>4.5</v>
      </c>
    </row>
    <row r="409" spans="1:5" x14ac:dyDescent="0.35">
      <c r="A409" t="s">
        <v>264</v>
      </c>
      <c r="B409" t="s">
        <v>114</v>
      </c>
      <c r="C409" t="s">
        <v>69</v>
      </c>
      <c r="D409">
        <v>36</v>
      </c>
      <c r="E409">
        <v>4.5</v>
      </c>
    </row>
    <row r="410" spans="1:5" x14ac:dyDescent="0.35">
      <c r="A410" t="s">
        <v>193</v>
      </c>
      <c r="B410" t="s">
        <v>57</v>
      </c>
      <c r="C410" t="s">
        <v>69</v>
      </c>
      <c r="D410">
        <v>97</v>
      </c>
      <c r="E410">
        <v>5</v>
      </c>
    </row>
    <row r="411" spans="1:5" x14ac:dyDescent="0.35">
      <c r="A411" t="s">
        <v>226</v>
      </c>
      <c r="B411" t="s">
        <v>57</v>
      </c>
      <c r="C411" t="s">
        <v>69</v>
      </c>
      <c r="D411">
        <v>82</v>
      </c>
      <c r="E411">
        <v>4.5</v>
      </c>
    </row>
    <row r="412" spans="1:5" x14ac:dyDescent="0.35">
      <c r="A412" t="s">
        <v>226</v>
      </c>
      <c r="B412" t="s">
        <v>114</v>
      </c>
      <c r="C412" t="s">
        <v>69</v>
      </c>
      <c r="D412">
        <v>0</v>
      </c>
      <c r="E412">
        <v>4.5</v>
      </c>
    </row>
    <row r="413" spans="1:5" x14ac:dyDescent="0.35">
      <c r="A413" t="s">
        <v>454</v>
      </c>
      <c r="B413" t="s">
        <v>128</v>
      </c>
      <c r="C413" t="s">
        <v>70</v>
      </c>
      <c r="D413">
        <v>0</v>
      </c>
      <c r="E413">
        <v>4.5</v>
      </c>
    </row>
    <row r="414" spans="1:5" x14ac:dyDescent="0.35">
      <c r="A414" t="s">
        <v>333</v>
      </c>
      <c r="B414" t="s">
        <v>51</v>
      </c>
      <c r="C414" t="s">
        <v>70</v>
      </c>
      <c r="D414">
        <v>63</v>
      </c>
      <c r="E414">
        <v>6.5</v>
      </c>
    </row>
    <row r="415" spans="1:5" x14ac:dyDescent="0.35">
      <c r="A415" t="s">
        <v>195</v>
      </c>
      <c r="B415" t="s">
        <v>54</v>
      </c>
      <c r="C415" t="s">
        <v>69</v>
      </c>
      <c r="D415">
        <v>86</v>
      </c>
      <c r="E415">
        <v>5</v>
      </c>
    </row>
    <row r="416" spans="1:5" x14ac:dyDescent="0.35">
      <c r="A416" t="s">
        <v>396</v>
      </c>
      <c r="B416" t="s">
        <v>47</v>
      </c>
      <c r="C416" t="s">
        <v>70</v>
      </c>
      <c r="D416">
        <v>78</v>
      </c>
      <c r="E416">
        <v>5</v>
      </c>
    </row>
    <row r="417" spans="1:5" x14ac:dyDescent="0.35">
      <c r="A417" t="s">
        <v>488</v>
      </c>
      <c r="B417" t="s">
        <v>50</v>
      </c>
      <c r="C417" t="s">
        <v>72</v>
      </c>
      <c r="D417">
        <v>56</v>
      </c>
      <c r="E417">
        <v>6</v>
      </c>
    </row>
    <row r="418" spans="1:5" x14ac:dyDescent="0.35">
      <c r="A418" t="s">
        <v>344</v>
      </c>
      <c r="B418" t="s">
        <v>54</v>
      </c>
      <c r="C418" t="s">
        <v>70</v>
      </c>
      <c r="D418">
        <v>135</v>
      </c>
      <c r="E418">
        <v>6</v>
      </c>
    </row>
    <row r="419" spans="1:5" x14ac:dyDescent="0.35">
      <c r="A419" t="s">
        <v>431</v>
      </c>
      <c r="B419" t="s">
        <v>112</v>
      </c>
      <c r="C419" t="s">
        <v>70</v>
      </c>
      <c r="D419">
        <v>44</v>
      </c>
      <c r="E419">
        <v>5</v>
      </c>
    </row>
    <row r="420" spans="1:5" x14ac:dyDescent="0.35">
      <c r="A420" t="s">
        <v>118</v>
      </c>
      <c r="B420" t="s">
        <v>56</v>
      </c>
      <c r="C420" t="s">
        <v>71</v>
      </c>
      <c r="D420">
        <v>9</v>
      </c>
      <c r="E420">
        <v>4.5</v>
      </c>
    </row>
    <row r="421" spans="1:5" x14ac:dyDescent="0.35">
      <c r="A421" t="s">
        <v>186</v>
      </c>
      <c r="B421" t="s">
        <v>99</v>
      </c>
      <c r="C421" t="s">
        <v>69</v>
      </c>
      <c r="D421">
        <v>118</v>
      </c>
      <c r="E421">
        <v>5.5</v>
      </c>
    </row>
    <row r="422" spans="1:5" x14ac:dyDescent="0.35">
      <c r="A422" t="s">
        <v>356</v>
      </c>
      <c r="B422" t="s">
        <v>59</v>
      </c>
      <c r="C422" t="s">
        <v>70</v>
      </c>
      <c r="D422">
        <v>0</v>
      </c>
      <c r="E422">
        <v>6</v>
      </c>
    </row>
    <row r="423" spans="1:5" x14ac:dyDescent="0.35">
      <c r="A423" t="s">
        <v>455</v>
      </c>
      <c r="B423" t="s">
        <v>128</v>
      </c>
      <c r="C423" t="s">
        <v>70</v>
      </c>
      <c r="D423">
        <v>0</v>
      </c>
      <c r="E423">
        <v>4.5</v>
      </c>
    </row>
    <row r="424" spans="1:5" x14ac:dyDescent="0.35">
      <c r="A424" t="s">
        <v>68</v>
      </c>
      <c r="B424" t="s">
        <v>58</v>
      </c>
      <c r="C424" t="s">
        <v>69</v>
      </c>
      <c r="D424">
        <v>54</v>
      </c>
      <c r="E424">
        <v>5</v>
      </c>
    </row>
    <row r="425" spans="1:5" x14ac:dyDescent="0.35">
      <c r="A425" t="s">
        <v>163</v>
      </c>
      <c r="B425" t="s">
        <v>54</v>
      </c>
      <c r="C425" t="s">
        <v>69</v>
      </c>
      <c r="D425">
        <v>140</v>
      </c>
      <c r="E425">
        <v>5.5</v>
      </c>
    </row>
    <row r="426" spans="1:5" x14ac:dyDescent="0.35">
      <c r="A426" t="s">
        <v>149</v>
      </c>
      <c r="B426" t="s">
        <v>44</v>
      </c>
      <c r="C426" t="s">
        <v>69</v>
      </c>
      <c r="D426">
        <v>208</v>
      </c>
      <c r="E426">
        <v>6.5</v>
      </c>
    </row>
    <row r="427" spans="1:5" x14ac:dyDescent="0.35">
      <c r="A427" t="s">
        <v>471</v>
      </c>
      <c r="B427" t="s">
        <v>51</v>
      </c>
      <c r="C427" t="s">
        <v>72</v>
      </c>
      <c r="D427">
        <v>174</v>
      </c>
      <c r="E427">
        <v>9</v>
      </c>
    </row>
    <row r="428" spans="1:5" x14ac:dyDescent="0.35">
      <c r="A428" t="s">
        <v>182</v>
      </c>
      <c r="B428" t="s">
        <v>99</v>
      </c>
      <c r="C428" t="s">
        <v>69</v>
      </c>
      <c r="D428">
        <v>67</v>
      </c>
      <c r="E428">
        <v>5.5</v>
      </c>
    </row>
    <row r="429" spans="1:5" x14ac:dyDescent="0.35">
      <c r="A429" t="s">
        <v>207</v>
      </c>
      <c r="B429" t="s">
        <v>58</v>
      </c>
      <c r="C429" t="s">
        <v>69</v>
      </c>
      <c r="D429">
        <v>50</v>
      </c>
      <c r="E429">
        <v>5</v>
      </c>
    </row>
    <row r="430" spans="1:5" x14ac:dyDescent="0.35">
      <c r="A430" t="s">
        <v>277</v>
      </c>
      <c r="B430" t="s">
        <v>112</v>
      </c>
      <c r="C430" t="s">
        <v>69</v>
      </c>
      <c r="D430">
        <v>24</v>
      </c>
      <c r="E430">
        <v>4.5</v>
      </c>
    </row>
    <row r="431" spans="1:5" x14ac:dyDescent="0.35">
      <c r="A431" t="s">
        <v>329</v>
      </c>
      <c r="B431" t="s">
        <v>128</v>
      </c>
      <c r="C431" t="s">
        <v>70</v>
      </c>
      <c r="D431">
        <v>0</v>
      </c>
      <c r="E431">
        <v>6.5</v>
      </c>
    </row>
    <row r="432" spans="1:5" x14ac:dyDescent="0.35">
      <c r="A432" t="s">
        <v>501</v>
      </c>
      <c r="B432" t="s">
        <v>57</v>
      </c>
      <c r="C432" t="s">
        <v>72</v>
      </c>
      <c r="D432">
        <v>21</v>
      </c>
      <c r="E432">
        <v>5.5</v>
      </c>
    </row>
    <row r="433" spans="1:5" x14ac:dyDescent="0.35">
      <c r="A433" t="s">
        <v>323</v>
      </c>
      <c r="B433" t="s">
        <v>50</v>
      </c>
      <c r="C433" t="s">
        <v>70</v>
      </c>
      <c r="D433">
        <v>101</v>
      </c>
      <c r="E433">
        <v>6.5</v>
      </c>
    </row>
    <row r="434" spans="1:5" x14ac:dyDescent="0.35">
      <c r="A434" t="s">
        <v>155</v>
      </c>
      <c r="B434" t="s">
        <v>94</v>
      </c>
      <c r="C434" t="s">
        <v>69</v>
      </c>
      <c r="D434">
        <v>150</v>
      </c>
      <c r="E434">
        <v>6</v>
      </c>
    </row>
    <row r="435" spans="1:5" x14ac:dyDescent="0.35">
      <c r="A435" t="s">
        <v>211</v>
      </c>
      <c r="B435" t="s">
        <v>99</v>
      </c>
      <c r="C435" t="s">
        <v>69</v>
      </c>
      <c r="D435">
        <v>28</v>
      </c>
      <c r="E435">
        <v>5</v>
      </c>
    </row>
    <row r="436" spans="1:5" x14ac:dyDescent="0.35">
      <c r="A436" t="s">
        <v>162</v>
      </c>
      <c r="B436" t="s">
        <v>97</v>
      </c>
      <c r="C436" t="s">
        <v>69</v>
      </c>
      <c r="D436">
        <v>120</v>
      </c>
      <c r="E436">
        <v>5.5</v>
      </c>
    </row>
    <row r="437" spans="1:5" x14ac:dyDescent="0.35">
      <c r="A437" t="s">
        <v>421</v>
      </c>
      <c r="B437" t="s">
        <v>99</v>
      </c>
      <c r="C437" t="s">
        <v>70</v>
      </c>
      <c r="D437">
        <v>24</v>
      </c>
      <c r="E437">
        <v>5</v>
      </c>
    </row>
    <row r="438" spans="1:5" x14ac:dyDescent="0.35">
      <c r="A438" t="s">
        <v>124</v>
      </c>
      <c r="B438" t="s">
        <v>54</v>
      </c>
      <c r="C438" t="s">
        <v>69</v>
      </c>
      <c r="D438">
        <v>13</v>
      </c>
      <c r="E438">
        <v>4.5</v>
      </c>
    </row>
    <row r="439" spans="1:5" x14ac:dyDescent="0.35">
      <c r="A439" t="s">
        <v>124</v>
      </c>
      <c r="B439" t="s">
        <v>51</v>
      </c>
      <c r="C439" t="s">
        <v>71</v>
      </c>
      <c r="D439">
        <v>0</v>
      </c>
      <c r="E439">
        <v>4.5</v>
      </c>
    </row>
    <row r="440" spans="1:5" x14ac:dyDescent="0.35">
      <c r="A440" t="s">
        <v>351</v>
      </c>
      <c r="B440" t="s">
        <v>58</v>
      </c>
      <c r="C440" t="s">
        <v>70</v>
      </c>
      <c r="D440">
        <v>94</v>
      </c>
      <c r="E440">
        <v>6</v>
      </c>
    </row>
    <row r="441" spans="1:5" x14ac:dyDescent="0.35">
      <c r="A441" t="s">
        <v>495</v>
      </c>
      <c r="B441" t="s">
        <v>114</v>
      </c>
      <c r="C441" t="s">
        <v>72</v>
      </c>
      <c r="D441">
        <v>0</v>
      </c>
      <c r="E441">
        <v>6</v>
      </c>
    </row>
    <row r="442" spans="1:5" x14ac:dyDescent="0.35">
      <c r="A442" t="s">
        <v>367</v>
      </c>
      <c r="B442" t="s">
        <v>57</v>
      </c>
      <c r="C442" t="s">
        <v>70</v>
      </c>
      <c r="D442">
        <v>111</v>
      </c>
      <c r="E442">
        <v>5.5</v>
      </c>
    </row>
    <row r="443" spans="1:5" x14ac:dyDescent="0.35">
      <c r="A443" t="s">
        <v>514</v>
      </c>
      <c r="B443" t="s">
        <v>54</v>
      </c>
      <c r="C443" t="s">
        <v>72</v>
      </c>
      <c r="D443">
        <v>9</v>
      </c>
      <c r="E443">
        <v>4.5</v>
      </c>
    </row>
    <row r="444" spans="1:5" x14ac:dyDescent="0.35">
      <c r="A444" t="s">
        <v>375</v>
      </c>
      <c r="B444" t="s">
        <v>44</v>
      </c>
      <c r="C444" t="s">
        <v>70</v>
      </c>
      <c r="D444">
        <v>108</v>
      </c>
      <c r="E444">
        <v>5.5</v>
      </c>
    </row>
    <row r="445" spans="1:5" x14ac:dyDescent="0.35">
      <c r="A445" t="s">
        <v>11</v>
      </c>
      <c r="B445" t="s">
        <v>45</v>
      </c>
      <c r="C445" t="s">
        <v>70</v>
      </c>
      <c r="D445">
        <v>108</v>
      </c>
      <c r="E445">
        <v>7</v>
      </c>
    </row>
    <row r="446" spans="1:5" x14ac:dyDescent="0.35">
      <c r="A446" t="s">
        <v>427</v>
      </c>
      <c r="B446" t="s">
        <v>52</v>
      </c>
      <c r="C446" t="s">
        <v>70</v>
      </c>
      <c r="D446">
        <v>17</v>
      </c>
      <c r="E446">
        <v>5</v>
      </c>
    </row>
    <row r="447" spans="1:5" x14ac:dyDescent="0.35">
      <c r="A447" t="s">
        <v>474</v>
      </c>
      <c r="B447" t="s">
        <v>56</v>
      </c>
      <c r="C447" t="s">
        <v>72</v>
      </c>
      <c r="D447">
        <v>168</v>
      </c>
      <c r="E447">
        <v>8</v>
      </c>
    </row>
    <row r="448" spans="1:5" x14ac:dyDescent="0.35">
      <c r="A448" t="s">
        <v>385</v>
      </c>
      <c r="B448" t="s">
        <v>99</v>
      </c>
      <c r="C448" t="s">
        <v>70</v>
      </c>
      <c r="D448">
        <v>53</v>
      </c>
      <c r="E448">
        <v>5.5</v>
      </c>
    </row>
    <row r="449" spans="1:5" x14ac:dyDescent="0.35">
      <c r="A449" t="s">
        <v>482</v>
      </c>
      <c r="B449" t="s">
        <v>57</v>
      </c>
      <c r="C449" t="s">
        <v>72</v>
      </c>
      <c r="D449">
        <v>131</v>
      </c>
      <c r="E449">
        <v>6.5</v>
      </c>
    </row>
    <row r="450" spans="1:5" x14ac:dyDescent="0.35">
      <c r="A450" t="s">
        <v>143</v>
      </c>
      <c r="B450" t="s">
        <v>108</v>
      </c>
      <c r="C450" t="s">
        <v>71</v>
      </c>
      <c r="D450">
        <v>0</v>
      </c>
      <c r="E450">
        <v>4</v>
      </c>
    </row>
    <row r="451" spans="1:5" x14ac:dyDescent="0.35">
      <c r="A451" t="s">
        <v>518</v>
      </c>
      <c r="B451" t="s">
        <v>52</v>
      </c>
      <c r="C451" t="s">
        <v>72</v>
      </c>
      <c r="D451">
        <v>1</v>
      </c>
      <c r="E451">
        <v>4.5</v>
      </c>
    </row>
    <row r="452" spans="1:5" x14ac:dyDescent="0.35">
      <c r="A452" t="s">
        <v>359</v>
      </c>
      <c r="B452" t="s">
        <v>47</v>
      </c>
      <c r="C452" t="s">
        <v>70</v>
      </c>
      <c r="D452">
        <v>90</v>
      </c>
      <c r="E452">
        <v>5.5</v>
      </c>
    </row>
    <row r="453" spans="1:5" x14ac:dyDescent="0.35">
      <c r="A453" t="s">
        <v>355</v>
      </c>
      <c r="B453" t="s">
        <v>52</v>
      </c>
      <c r="C453" t="s">
        <v>70</v>
      </c>
      <c r="D453">
        <v>27</v>
      </c>
      <c r="E453">
        <v>6</v>
      </c>
    </row>
    <row r="454" spans="1:5" x14ac:dyDescent="0.35">
      <c r="A454" t="s">
        <v>246</v>
      </c>
      <c r="B454" t="s">
        <v>108</v>
      </c>
      <c r="C454" t="s">
        <v>69</v>
      </c>
      <c r="D454">
        <v>63</v>
      </c>
      <c r="E454">
        <v>4.5</v>
      </c>
    </row>
    <row r="455" spans="1:5" x14ac:dyDescent="0.35">
      <c r="A455" t="s">
        <v>265</v>
      </c>
      <c r="B455" t="s">
        <v>58</v>
      </c>
      <c r="C455" t="s">
        <v>69</v>
      </c>
      <c r="D455">
        <v>44</v>
      </c>
      <c r="E455">
        <v>4.5</v>
      </c>
    </row>
    <row r="456" spans="1:5" x14ac:dyDescent="0.35">
      <c r="A456" t="s">
        <v>177</v>
      </c>
      <c r="B456" t="s">
        <v>97</v>
      </c>
      <c r="C456" t="s">
        <v>69</v>
      </c>
      <c r="D456">
        <v>73</v>
      </c>
      <c r="E456">
        <v>5.5</v>
      </c>
    </row>
    <row r="457" spans="1:5" x14ac:dyDescent="0.35">
      <c r="A457" t="s">
        <v>273</v>
      </c>
      <c r="B457" t="s">
        <v>52</v>
      </c>
      <c r="C457" t="s">
        <v>69</v>
      </c>
      <c r="D457">
        <v>56</v>
      </c>
      <c r="E457">
        <v>4.5</v>
      </c>
    </row>
    <row r="458" spans="1:5" x14ac:dyDescent="0.35">
      <c r="A458" t="s">
        <v>316</v>
      </c>
      <c r="B458" t="s">
        <v>54</v>
      </c>
      <c r="C458" t="s">
        <v>70</v>
      </c>
      <c r="D458">
        <v>143</v>
      </c>
      <c r="E458">
        <v>7</v>
      </c>
    </row>
    <row r="459" spans="1:5" x14ac:dyDescent="0.35">
      <c r="A459" t="s">
        <v>241</v>
      </c>
      <c r="B459" t="s">
        <v>45</v>
      </c>
      <c r="C459" t="s">
        <v>69</v>
      </c>
      <c r="D459">
        <v>9</v>
      </c>
      <c r="E459">
        <v>4.5</v>
      </c>
    </row>
    <row r="460" spans="1:5" x14ac:dyDescent="0.35">
      <c r="A460" t="s">
        <v>256</v>
      </c>
      <c r="B460" t="s">
        <v>128</v>
      </c>
      <c r="C460" t="s">
        <v>69</v>
      </c>
      <c r="D460">
        <v>0</v>
      </c>
      <c r="E460">
        <v>4.5</v>
      </c>
    </row>
    <row r="461" spans="1:5" x14ac:dyDescent="0.35">
      <c r="A461" t="s">
        <v>173</v>
      </c>
      <c r="B461" t="s">
        <v>94</v>
      </c>
      <c r="C461" t="s">
        <v>69</v>
      </c>
      <c r="D461">
        <v>44</v>
      </c>
      <c r="E461">
        <v>5.5</v>
      </c>
    </row>
    <row r="462" spans="1:5" x14ac:dyDescent="0.35">
      <c r="A462" t="s">
        <v>220</v>
      </c>
      <c r="B462" t="s">
        <v>45</v>
      </c>
      <c r="C462" t="s">
        <v>69</v>
      </c>
      <c r="D462">
        <v>112</v>
      </c>
      <c r="E462">
        <v>5</v>
      </c>
    </row>
  </sheetData>
  <autoFilter ref="A1:E462" xr:uid="{809B1188-F4AF-4A14-BD19-A971BAB06D0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4F670-4CEE-4284-8D26-6D0D282EC93B}">
  <sheetPr codeName="Sheet7"/>
  <dimension ref="A1:F79"/>
  <sheetViews>
    <sheetView workbookViewId="0">
      <selection activeCell="D1" sqref="D1"/>
    </sheetView>
  </sheetViews>
  <sheetFormatPr defaultRowHeight="14.5" x14ac:dyDescent="0.35"/>
  <cols>
    <col min="4" max="4" width="12.1796875" customWidth="1"/>
  </cols>
  <sheetData>
    <row r="1" spans="1:6" x14ac:dyDescent="0.35">
      <c r="A1" t="s">
        <v>677</v>
      </c>
      <c r="B1" t="s">
        <v>34</v>
      </c>
      <c r="C1" t="s">
        <v>678</v>
      </c>
      <c r="D1" t="s">
        <v>744</v>
      </c>
      <c r="E1" t="s">
        <v>662</v>
      </c>
      <c r="F1" t="s">
        <v>680</v>
      </c>
    </row>
    <row r="2" spans="1:6" x14ac:dyDescent="0.35">
      <c r="A2" t="s">
        <v>471</v>
      </c>
      <c r="B2" t="s">
        <v>82</v>
      </c>
      <c r="C2" t="s">
        <v>72</v>
      </c>
      <c r="D2">
        <v>31</v>
      </c>
      <c r="E2">
        <v>33</v>
      </c>
      <c r="F2">
        <v>0.93899999999999995</v>
      </c>
    </row>
    <row r="3" spans="1:6" x14ac:dyDescent="0.35">
      <c r="A3" t="s">
        <v>466</v>
      </c>
      <c r="B3" t="s">
        <v>74</v>
      </c>
      <c r="C3" t="s">
        <v>72</v>
      </c>
      <c r="D3">
        <v>32</v>
      </c>
      <c r="E3">
        <v>36</v>
      </c>
      <c r="F3">
        <v>0.88900000000000001</v>
      </c>
    </row>
    <row r="4" spans="1:6" x14ac:dyDescent="0.35">
      <c r="A4" t="s">
        <v>147</v>
      </c>
      <c r="B4" t="s">
        <v>83</v>
      </c>
      <c r="C4" t="s">
        <v>69</v>
      </c>
      <c r="D4">
        <v>25</v>
      </c>
      <c r="E4">
        <v>29</v>
      </c>
      <c r="F4">
        <v>0.86199999999999999</v>
      </c>
    </row>
    <row r="5" spans="1:6" x14ac:dyDescent="0.35">
      <c r="A5" t="s">
        <v>467</v>
      </c>
      <c r="B5" t="s">
        <v>88</v>
      </c>
      <c r="C5" t="s">
        <v>72</v>
      </c>
      <c r="D5">
        <v>24</v>
      </c>
      <c r="E5">
        <v>28</v>
      </c>
      <c r="F5">
        <v>0.85699999999999998</v>
      </c>
    </row>
    <row r="6" spans="1:6" x14ac:dyDescent="0.35">
      <c r="A6" t="s">
        <v>146</v>
      </c>
      <c r="B6" t="s">
        <v>83</v>
      </c>
      <c r="C6" t="s">
        <v>69</v>
      </c>
      <c r="D6">
        <v>29</v>
      </c>
      <c r="E6">
        <v>35</v>
      </c>
      <c r="F6">
        <v>0.82899999999999996</v>
      </c>
    </row>
    <row r="7" spans="1:6" x14ac:dyDescent="0.35">
      <c r="A7" t="s">
        <v>475</v>
      </c>
      <c r="B7" t="s">
        <v>91</v>
      </c>
      <c r="C7" t="s">
        <v>72</v>
      </c>
      <c r="D7">
        <v>31</v>
      </c>
      <c r="E7">
        <v>38</v>
      </c>
      <c r="F7">
        <v>0.81599999999999995</v>
      </c>
    </row>
    <row r="8" spans="1:6" x14ac:dyDescent="0.35">
      <c r="A8" t="s">
        <v>465</v>
      </c>
      <c r="B8" t="s">
        <v>672</v>
      </c>
      <c r="C8" t="s">
        <v>72</v>
      </c>
      <c r="D8">
        <v>26</v>
      </c>
      <c r="E8">
        <v>33</v>
      </c>
      <c r="F8">
        <v>0.78800000000000003</v>
      </c>
    </row>
    <row r="9" spans="1:6" x14ac:dyDescent="0.35">
      <c r="A9" t="s">
        <v>301</v>
      </c>
      <c r="B9" t="s">
        <v>672</v>
      </c>
      <c r="C9" t="s">
        <v>70</v>
      </c>
      <c r="D9">
        <v>25</v>
      </c>
      <c r="E9">
        <v>34</v>
      </c>
      <c r="F9">
        <v>0.73499999999999999</v>
      </c>
    </row>
    <row r="10" spans="1:6" x14ac:dyDescent="0.35">
      <c r="A10" t="s">
        <v>474</v>
      </c>
      <c r="B10" t="s">
        <v>75</v>
      </c>
      <c r="C10" t="s">
        <v>72</v>
      </c>
      <c r="D10">
        <v>22</v>
      </c>
      <c r="E10">
        <v>30</v>
      </c>
      <c r="F10">
        <v>0.73299999999999998</v>
      </c>
    </row>
    <row r="11" spans="1:6" x14ac:dyDescent="0.35">
      <c r="A11" t="s">
        <v>469</v>
      </c>
      <c r="B11" t="s">
        <v>83</v>
      </c>
      <c r="C11" t="s">
        <v>72</v>
      </c>
      <c r="D11">
        <v>24</v>
      </c>
      <c r="E11">
        <v>34</v>
      </c>
      <c r="F11">
        <v>0.70599999999999996</v>
      </c>
    </row>
    <row r="12" spans="1:6" x14ac:dyDescent="0.35">
      <c r="A12" t="s">
        <v>312</v>
      </c>
      <c r="B12" t="s">
        <v>75</v>
      </c>
      <c r="C12" t="s">
        <v>70</v>
      </c>
      <c r="D12">
        <v>23</v>
      </c>
      <c r="E12">
        <v>33</v>
      </c>
      <c r="F12">
        <v>0.69699999999999995</v>
      </c>
    </row>
    <row r="13" spans="1:6" x14ac:dyDescent="0.35">
      <c r="A13" t="s">
        <v>148</v>
      </c>
      <c r="B13" t="s">
        <v>78</v>
      </c>
      <c r="C13" t="s">
        <v>69</v>
      </c>
      <c r="D13">
        <v>21</v>
      </c>
      <c r="E13">
        <v>31</v>
      </c>
      <c r="F13">
        <v>0.67700000000000005</v>
      </c>
    </row>
    <row r="14" spans="1:6" x14ac:dyDescent="0.35">
      <c r="A14" t="s">
        <v>302</v>
      </c>
      <c r="B14" t="s">
        <v>83</v>
      </c>
      <c r="C14" t="s">
        <v>70</v>
      </c>
      <c r="D14">
        <v>24</v>
      </c>
      <c r="E14">
        <v>36</v>
      </c>
      <c r="F14">
        <v>0.66700000000000004</v>
      </c>
    </row>
    <row r="15" spans="1:6" x14ac:dyDescent="0.35">
      <c r="A15" t="s">
        <v>154</v>
      </c>
      <c r="B15" t="s">
        <v>82</v>
      </c>
      <c r="C15" t="s">
        <v>69</v>
      </c>
      <c r="D15">
        <v>22</v>
      </c>
      <c r="E15">
        <v>34</v>
      </c>
      <c r="F15">
        <v>0.64700000000000002</v>
      </c>
    </row>
    <row r="16" spans="1:6" x14ac:dyDescent="0.35">
      <c r="A16" t="s">
        <v>481</v>
      </c>
      <c r="B16" t="s">
        <v>75</v>
      </c>
      <c r="C16" t="s">
        <v>72</v>
      </c>
      <c r="D16">
        <v>20</v>
      </c>
      <c r="E16">
        <v>31</v>
      </c>
      <c r="F16">
        <v>0.64500000000000002</v>
      </c>
    </row>
    <row r="17" spans="1:6" x14ac:dyDescent="0.35">
      <c r="A17" t="s">
        <v>317</v>
      </c>
      <c r="B17" t="s">
        <v>673</v>
      </c>
      <c r="C17" t="s">
        <v>70</v>
      </c>
      <c r="D17">
        <v>24</v>
      </c>
      <c r="E17">
        <v>38</v>
      </c>
      <c r="F17">
        <v>0.63200000000000001</v>
      </c>
    </row>
    <row r="18" spans="1:6" x14ac:dyDescent="0.35">
      <c r="A18" t="s">
        <v>153</v>
      </c>
      <c r="B18" t="s">
        <v>80</v>
      </c>
      <c r="C18" t="s">
        <v>69</v>
      </c>
      <c r="D18">
        <v>22</v>
      </c>
      <c r="E18">
        <v>35</v>
      </c>
      <c r="F18">
        <v>0.629</v>
      </c>
    </row>
    <row r="19" spans="1:6" x14ac:dyDescent="0.35">
      <c r="A19" t="s">
        <v>186</v>
      </c>
      <c r="B19" t="s">
        <v>88</v>
      </c>
      <c r="C19" t="s">
        <v>69</v>
      </c>
      <c r="D19">
        <v>16</v>
      </c>
      <c r="E19">
        <v>27</v>
      </c>
      <c r="F19">
        <v>0.59299999999999997</v>
      </c>
    </row>
    <row r="20" spans="1:6" x14ac:dyDescent="0.35">
      <c r="A20" t="s">
        <v>353</v>
      </c>
      <c r="B20" t="s">
        <v>89</v>
      </c>
      <c r="C20" t="s">
        <v>70</v>
      </c>
      <c r="D20">
        <v>14</v>
      </c>
      <c r="E20">
        <v>24</v>
      </c>
      <c r="F20">
        <v>0.58299999999999996</v>
      </c>
    </row>
    <row r="21" spans="1:6" x14ac:dyDescent="0.35">
      <c r="A21" t="s">
        <v>149</v>
      </c>
      <c r="B21" t="s">
        <v>83</v>
      </c>
      <c r="C21" t="s">
        <v>69</v>
      </c>
      <c r="D21">
        <v>22</v>
      </c>
      <c r="E21">
        <v>38</v>
      </c>
      <c r="F21">
        <v>0.57899999999999996</v>
      </c>
    </row>
    <row r="22" spans="1:6" x14ac:dyDescent="0.35">
      <c r="A22" t="s">
        <v>351</v>
      </c>
      <c r="B22" t="s">
        <v>87</v>
      </c>
      <c r="C22" t="s">
        <v>70</v>
      </c>
      <c r="D22">
        <v>15</v>
      </c>
      <c r="E22">
        <v>26</v>
      </c>
      <c r="F22">
        <v>0.57699999999999996</v>
      </c>
    </row>
    <row r="23" spans="1:6" x14ac:dyDescent="0.35">
      <c r="A23" t="s">
        <v>468</v>
      </c>
      <c r="B23" t="s">
        <v>74</v>
      </c>
      <c r="C23" t="s">
        <v>72</v>
      </c>
      <c r="D23">
        <v>20</v>
      </c>
      <c r="E23">
        <v>35</v>
      </c>
      <c r="F23">
        <v>0.57099999999999995</v>
      </c>
    </row>
    <row r="24" spans="1:6" x14ac:dyDescent="0.35">
      <c r="A24" t="s">
        <v>150</v>
      </c>
      <c r="B24" t="s">
        <v>672</v>
      </c>
      <c r="C24" t="s">
        <v>69</v>
      </c>
      <c r="D24">
        <v>16</v>
      </c>
      <c r="E24">
        <v>29</v>
      </c>
      <c r="F24">
        <v>0.55200000000000005</v>
      </c>
    </row>
    <row r="25" spans="1:6" x14ac:dyDescent="0.35">
      <c r="A25" t="s">
        <v>305</v>
      </c>
      <c r="B25" t="s">
        <v>88</v>
      </c>
      <c r="C25" t="s">
        <v>70</v>
      </c>
      <c r="D25">
        <v>17</v>
      </c>
      <c r="E25">
        <v>31</v>
      </c>
      <c r="F25">
        <v>0.54800000000000004</v>
      </c>
    </row>
    <row r="26" spans="1:6" x14ac:dyDescent="0.35">
      <c r="A26" t="s">
        <v>308</v>
      </c>
      <c r="B26" t="s">
        <v>85</v>
      </c>
      <c r="C26" t="s">
        <v>70</v>
      </c>
      <c r="D26">
        <v>19</v>
      </c>
      <c r="E26">
        <v>35</v>
      </c>
      <c r="F26">
        <v>0.54300000000000004</v>
      </c>
    </row>
    <row r="27" spans="1:6" x14ac:dyDescent="0.35">
      <c r="A27" t="s">
        <v>21</v>
      </c>
      <c r="B27" t="s">
        <v>78</v>
      </c>
      <c r="C27" t="s">
        <v>69</v>
      </c>
      <c r="D27">
        <v>19</v>
      </c>
      <c r="E27">
        <v>36</v>
      </c>
      <c r="F27">
        <v>0.52800000000000002</v>
      </c>
    </row>
    <row r="28" spans="1:6" x14ac:dyDescent="0.35">
      <c r="A28" t="s">
        <v>310</v>
      </c>
      <c r="B28" t="s">
        <v>80</v>
      </c>
      <c r="C28" t="s">
        <v>70</v>
      </c>
      <c r="D28">
        <v>20</v>
      </c>
      <c r="E28">
        <v>38</v>
      </c>
      <c r="F28">
        <v>0.52600000000000002</v>
      </c>
    </row>
    <row r="29" spans="1:6" x14ac:dyDescent="0.35">
      <c r="A29" t="s">
        <v>315</v>
      </c>
      <c r="B29" t="s">
        <v>74</v>
      </c>
      <c r="C29" t="s">
        <v>70</v>
      </c>
      <c r="D29">
        <v>12</v>
      </c>
      <c r="E29">
        <v>23</v>
      </c>
      <c r="F29">
        <v>0.52200000000000002</v>
      </c>
    </row>
    <row r="30" spans="1:6" x14ac:dyDescent="0.35">
      <c r="A30" t="s">
        <v>307</v>
      </c>
      <c r="B30" t="s">
        <v>672</v>
      </c>
      <c r="C30" t="s">
        <v>70</v>
      </c>
      <c r="D30">
        <v>14</v>
      </c>
      <c r="E30">
        <v>27</v>
      </c>
      <c r="F30">
        <v>0.51900000000000002</v>
      </c>
    </row>
    <row r="31" spans="1:6" x14ac:dyDescent="0.35">
      <c r="A31" t="s">
        <v>20</v>
      </c>
      <c r="B31" t="s">
        <v>672</v>
      </c>
      <c r="C31" t="s">
        <v>70</v>
      </c>
      <c r="D31">
        <v>17</v>
      </c>
      <c r="E31">
        <v>33</v>
      </c>
      <c r="F31">
        <v>0.51500000000000001</v>
      </c>
    </row>
    <row r="32" spans="1:6" x14ac:dyDescent="0.35">
      <c r="A32" t="s">
        <v>162</v>
      </c>
      <c r="B32" t="s">
        <v>674</v>
      </c>
      <c r="C32" t="s">
        <v>69</v>
      </c>
      <c r="D32">
        <v>18</v>
      </c>
      <c r="E32">
        <v>35</v>
      </c>
      <c r="F32">
        <v>0.51400000000000001</v>
      </c>
    </row>
    <row r="33" spans="1:6" x14ac:dyDescent="0.35">
      <c r="A33" t="s">
        <v>328</v>
      </c>
      <c r="B33" t="s">
        <v>675</v>
      </c>
      <c r="C33" t="s">
        <v>70</v>
      </c>
      <c r="D33">
        <v>19</v>
      </c>
      <c r="E33">
        <v>37</v>
      </c>
      <c r="F33">
        <v>0.51400000000000001</v>
      </c>
    </row>
    <row r="34" spans="1:6" x14ac:dyDescent="0.35">
      <c r="A34" t="s">
        <v>18</v>
      </c>
      <c r="B34" t="s">
        <v>90</v>
      </c>
      <c r="C34" t="s">
        <v>70</v>
      </c>
      <c r="D34">
        <v>18</v>
      </c>
      <c r="E34">
        <v>36</v>
      </c>
      <c r="F34">
        <v>0.5</v>
      </c>
    </row>
    <row r="35" spans="1:6" x14ac:dyDescent="0.35">
      <c r="A35" t="s">
        <v>196</v>
      </c>
      <c r="B35" t="s">
        <v>673</v>
      </c>
      <c r="C35" t="s">
        <v>69</v>
      </c>
      <c r="D35">
        <v>13</v>
      </c>
      <c r="E35">
        <v>27</v>
      </c>
      <c r="F35">
        <v>0.48099999999999998</v>
      </c>
    </row>
    <row r="36" spans="1:6" x14ac:dyDescent="0.35">
      <c r="A36" t="s">
        <v>313</v>
      </c>
      <c r="B36" t="s">
        <v>85</v>
      </c>
      <c r="C36" t="s">
        <v>70</v>
      </c>
      <c r="D36">
        <v>13</v>
      </c>
      <c r="E36">
        <v>27</v>
      </c>
      <c r="F36">
        <v>0.48099999999999998</v>
      </c>
    </row>
    <row r="37" spans="1:6" x14ac:dyDescent="0.35">
      <c r="A37" t="s">
        <v>320</v>
      </c>
      <c r="B37" t="s">
        <v>76</v>
      </c>
      <c r="C37" t="s">
        <v>70</v>
      </c>
      <c r="D37">
        <v>12</v>
      </c>
      <c r="E37">
        <v>25</v>
      </c>
      <c r="F37">
        <v>0.48</v>
      </c>
    </row>
    <row r="38" spans="1:6" x14ac:dyDescent="0.35">
      <c r="A38" t="s">
        <v>300</v>
      </c>
      <c r="B38" t="s">
        <v>83</v>
      </c>
      <c r="C38" t="s">
        <v>70</v>
      </c>
      <c r="D38">
        <v>18</v>
      </c>
      <c r="E38">
        <v>38</v>
      </c>
      <c r="F38">
        <v>0.47399999999999998</v>
      </c>
    </row>
    <row r="39" spans="1:6" x14ac:dyDescent="0.35">
      <c r="A39" t="s">
        <v>163</v>
      </c>
      <c r="B39" t="s">
        <v>673</v>
      </c>
      <c r="C39" t="s">
        <v>69</v>
      </c>
      <c r="D39">
        <v>17</v>
      </c>
      <c r="E39">
        <v>36</v>
      </c>
      <c r="F39">
        <v>0.47199999999999998</v>
      </c>
    </row>
    <row r="40" spans="1:6" x14ac:dyDescent="0.35">
      <c r="A40" t="s">
        <v>493</v>
      </c>
      <c r="B40" t="s">
        <v>87</v>
      </c>
      <c r="C40" t="s">
        <v>72</v>
      </c>
      <c r="D40">
        <v>11</v>
      </c>
      <c r="E40">
        <v>24</v>
      </c>
      <c r="F40">
        <v>0.45800000000000002</v>
      </c>
    </row>
    <row r="41" spans="1:6" x14ac:dyDescent="0.35">
      <c r="A41" t="s">
        <v>165</v>
      </c>
      <c r="B41" t="s">
        <v>80</v>
      </c>
      <c r="C41" t="s">
        <v>69</v>
      </c>
      <c r="D41">
        <v>15</v>
      </c>
      <c r="E41">
        <v>33</v>
      </c>
      <c r="F41">
        <v>0.45500000000000002</v>
      </c>
    </row>
    <row r="42" spans="1:6" x14ac:dyDescent="0.35">
      <c r="A42" t="s">
        <v>482</v>
      </c>
      <c r="B42" t="s">
        <v>77</v>
      </c>
      <c r="C42" t="s">
        <v>72</v>
      </c>
      <c r="D42">
        <v>17</v>
      </c>
      <c r="E42">
        <v>38</v>
      </c>
      <c r="F42">
        <v>0.44700000000000001</v>
      </c>
    </row>
    <row r="43" spans="1:6" x14ac:dyDescent="0.35">
      <c r="A43" t="s">
        <v>472</v>
      </c>
      <c r="B43" t="s">
        <v>85</v>
      </c>
      <c r="C43" t="s">
        <v>72</v>
      </c>
      <c r="D43">
        <v>14</v>
      </c>
      <c r="E43">
        <v>32</v>
      </c>
      <c r="F43">
        <v>0.438</v>
      </c>
    </row>
    <row r="44" spans="1:6" x14ac:dyDescent="0.35">
      <c r="A44" t="s">
        <v>306</v>
      </c>
      <c r="B44" t="s">
        <v>88</v>
      </c>
      <c r="C44" t="s">
        <v>70</v>
      </c>
      <c r="D44">
        <v>15</v>
      </c>
      <c r="E44">
        <v>35</v>
      </c>
      <c r="F44">
        <v>0.42899999999999999</v>
      </c>
    </row>
    <row r="45" spans="1:6" x14ac:dyDescent="0.35">
      <c r="A45" t="s">
        <v>473</v>
      </c>
      <c r="B45" t="s">
        <v>85</v>
      </c>
      <c r="C45" t="s">
        <v>72</v>
      </c>
      <c r="D45">
        <v>14</v>
      </c>
      <c r="E45">
        <v>33</v>
      </c>
      <c r="F45">
        <v>0.42399999999999999</v>
      </c>
    </row>
    <row r="46" spans="1:6" x14ac:dyDescent="0.35">
      <c r="A46" t="s">
        <v>10</v>
      </c>
      <c r="B46" t="s">
        <v>672</v>
      </c>
      <c r="C46" t="s">
        <v>70</v>
      </c>
      <c r="D46">
        <v>14</v>
      </c>
      <c r="E46">
        <v>33</v>
      </c>
      <c r="F46">
        <v>0.42399999999999999</v>
      </c>
    </row>
    <row r="47" spans="1:6" x14ac:dyDescent="0.35">
      <c r="A47" t="s">
        <v>486</v>
      </c>
      <c r="B47" t="s">
        <v>76</v>
      </c>
      <c r="C47" t="s">
        <v>72</v>
      </c>
      <c r="D47">
        <v>16</v>
      </c>
      <c r="E47">
        <v>38</v>
      </c>
      <c r="F47">
        <v>0.42099999999999999</v>
      </c>
    </row>
    <row r="48" spans="1:6" x14ac:dyDescent="0.35">
      <c r="A48" t="s">
        <v>304</v>
      </c>
      <c r="B48" t="s">
        <v>672</v>
      </c>
      <c r="C48" t="s">
        <v>70</v>
      </c>
      <c r="D48">
        <v>13</v>
      </c>
      <c r="E48">
        <v>31</v>
      </c>
      <c r="F48">
        <v>0.41899999999999998</v>
      </c>
    </row>
    <row r="49" spans="1:6" x14ac:dyDescent="0.35">
      <c r="A49" t="s">
        <v>160</v>
      </c>
      <c r="B49" t="s">
        <v>74</v>
      </c>
      <c r="C49" t="s">
        <v>69</v>
      </c>
      <c r="D49">
        <v>10</v>
      </c>
      <c r="E49">
        <v>24</v>
      </c>
      <c r="F49">
        <v>0.41699999999999998</v>
      </c>
    </row>
    <row r="50" spans="1:6" x14ac:dyDescent="0.35">
      <c r="A50" t="s">
        <v>484</v>
      </c>
      <c r="B50" t="s">
        <v>89</v>
      </c>
      <c r="C50" t="s">
        <v>72</v>
      </c>
      <c r="D50">
        <v>13</v>
      </c>
      <c r="E50">
        <v>32</v>
      </c>
      <c r="F50">
        <v>0.40600000000000003</v>
      </c>
    </row>
    <row r="51" spans="1:6" x14ac:dyDescent="0.35">
      <c r="A51" t="s">
        <v>166</v>
      </c>
      <c r="B51" t="s">
        <v>80</v>
      </c>
      <c r="C51" t="s">
        <v>69</v>
      </c>
      <c r="D51">
        <v>12</v>
      </c>
      <c r="E51">
        <v>30</v>
      </c>
      <c r="F51">
        <v>0.4</v>
      </c>
    </row>
    <row r="52" spans="1:6" x14ac:dyDescent="0.35">
      <c r="A52" t="s">
        <v>494</v>
      </c>
      <c r="B52" t="s">
        <v>90</v>
      </c>
      <c r="C52" t="s">
        <v>72</v>
      </c>
      <c r="D52">
        <v>10</v>
      </c>
      <c r="E52">
        <v>25</v>
      </c>
      <c r="F52">
        <v>0.4</v>
      </c>
    </row>
    <row r="53" spans="1:6" x14ac:dyDescent="0.35">
      <c r="A53" t="s">
        <v>676</v>
      </c>
      <c r="B53" t="s">
        <v>672</v>
      </c>
      <c r="C53" t="s">
        <v>70</v>
      </c>
      <c r="D53">
        <v>10</v>
      </c>
      <c r="E53">
        <v>25</v>
      </c>
      <c r="F53">
        <v>0.4</v>
      </c>
    </row>
    <row r="54" spans="1:6" x14ac:dyDescent="0.35">
      <c r="A54" t="s">
        <v>110</v>
      </c>
      <c r="B54" t="s">
        <v>90</v>
      </c>
      <c r="C54" t="s">
        <v>71</v>
      </c>
      <c r="D54">
        <v>15</v>
      </c>
      <c r="E54">
        <v>38</v>
      </c>
      <c r="F54">
        <v>0.39500000000000002</v>
      </c>
    </row>
    <row r="55" spans="1:6" x14ac:dyDescent="0.35">
      <c r="A55" t="s">
        <v>337</v>
      </c>
      <c r="B55" t="s">
        <v>91</v>
      </c>
      <c r="C55" t="s">
        <v>72</v>
      </c>
      <c r="D55">
        <v>13</v>
      </c>
      <c r="E55">
        <v>33</v>
      </c>
      <c r="F55">
        <v>0.39400000000000002</v>
      </c>
    </row>
    <row r="56" spans="1:6" x14ac:dyDescent="0.35">
      <c r="A56" t="s">
        <v>354</v>
      </c>
      <c r="B56" t="s">
        <v>89</v>
      </c>
      <c r="C56" t="s">
        <v>70</v>
      </c>
      <c r="D56">
        <v>13</v>
      </c>
      <c r="E56">
        <v>33</v>
      </c>
      <c r="F56">
        <v>0.39400000000000002</v>
      </c>
    </row>
    <row r="57" spans="1:6" x14ac:dyDescent="0.35">
      <c r="A57" t="s">
        <v>19</v>
      </c>
      <c r="B57" t="s">
        <v>78</v>
      </c>
      <c r="C57" t="s">
        <v>70</v>
      </c>
      <c r="D57">
        <v>12</v>
      </c>
      <c r="E57">
        <v>31</v>
      </c>
      <c r="F57">
        <v>0.38700000000000001</v>
      </c>
    </row>
    <row r="58" spans="1:6" x14ac:dyDescent="0.35">
      <c r="A58" t="s">
        <v>318</v>
      </c>
      <c r="B58" t="s">
        <v>82</v>
      </c>
      <c r="C58" t="s">
        <v>70</v>
      </c>
      <c r="D58">
        <v>12</v>
      </c>
      <c r="E58">
        <v>31</v>
      </c>
      <c r="F58">
        <v>0.38700000000000001</v>
      </c>
    </row>
    <row r="59" spans="1:6" x14ac:dyDescent="0.35">
      <c r="A59" t="s">
        <v>376</v>
      </c>
      <c r="B59" t="s">
        <v>83</v>
      </c>
      <c r="C59" t="s">
        <v>70</v>
      </c>
      <c r="D59">
        <v>12</v>
      </c>
      <c r="E59">
        <v>31</v>
      </c>
      <c r="F59">
        <v>0.38700000000000001</v>
      </c>
    </row>
    <row r="60" spans="1:6" x14ac:dyDescent="0.35">
      <c r="A60" t="s">
        <v>316</v>
      </c>
      <c r="B60" t="s">
        <v>673</v>
      </c>
      <c r="C60" t="s">
        <v>70</v>
      </c>
      <c r="D60">
        <v>13</v>
      </c>
      <c r="E60">
        <v>34</v>
      </c>
      <c r="F60">
        <v>0.38200000000000001</v>
      </c>
    </row>
    <row r="61" spans="1:6" x14ac:dyDescent="0.35">
      <c r="A61" t="s">
        <v>179</v>
      </c>
      <c r="B61" t="s">
        <v>85</v>
      </c>
      <c r="C61" t="s">
        <v>69</v>
      </c>
      <c r="D61">
        <v>11</v>
      </c>
      <c r="E61">
        <v>29</v>
      </c>
      <c r="F61">
        <v>0.379</v>
      </c>
    </row>
    <row r="62" spans="1:6" x14ac:dyDescent="0.35">
      <c r="A62" t="s">
        <v>212</v>
      </c>
      <c r="B62" t="s">
        <v>89</v>
      </c>
      <c r="C62" t="s">
        <v>69</v>
      </c>
      <c r="D62">
        <v>10</v>
      </c>
      <c r="E62">
        <v>28</v>
      </c>
      <c r="F62">
        <v>0.35699999999999998</v>
      </c>
    </row>
    <row r="63" spans="1:6" x14ac:dyDescent="0.35">
      <c r="A63" t="s">
        <v>345</v>
      </c>
      <c r="B63" t="s">
        <v>77</v>
      </c>
      <c r="C63" t="s">
        <v>72</v>
      </c>
      <c r="D63">
        <v>13</v>
      </c>
      <c r="E63">
        <v>37</v>
      </c>
      <c r="F63">
        <v>0.35099999999999998</v>
      </c>
    </row>
    <row r="64" spans="1:6" x14ac:dyDescent="0.35">
      <c r="A64" t="s">
        <v>373</v>
      </c>
      <c r="B64" t="s">
        <v>89</v>
      </c>
      <c r="C64" t="s">
        <v>72</v>
      </c>
      <c r="D64">
        <v>10</v>
      </c>
      <c r="E64">
        <v>29</v>
      </c>
      <c r="F64">
        <v>0.34499999999999997</v>
      </c>
    </row>
    <row r="65" spans="1:6" x14ac:dyDescent="0.35">
      <c r="A65" t="s">
        <v>13</v>
      </c>
      <c r="B65" t="s">
        <v>80</v>
      </c>
      <c r="C65" t="s">
        <v>70</v>
      </c>
      <c r="D65">
        <v>12</v>
      </c>
      <c r="E65">
        <v>35</v>
      </c>
      <c r="F65">
        <v>0.34300000000000003</v>
      </c>
    </row>
    <row r="66" spans="1:6" x14ac:dyDescent="0.35">
      <c r="A66" t="s">
        <v>95</v>
      </c>
      <c r="B66" t="s">
        <v>80</v>
      </c>
      <c r="C66" t="s">
        <v>71</v>
      </c>
      <c r="D66">
        <v>13</v>
      </c>
      <c r="E66">
        <v>38</v>
      </c>
      <c r="F66">
        <v>0.34200000000000003</v>
      </c>
    </row>
    <row r="67" spans="1:6" x14ac:dyDescent="0.35">
      <c r="A67" t="s">
        <v>389</v>
      </c>
      <c r="B67" t="s">
        <v>91</v>
      </c>
      <c r="C67" t="s">
        <v>70</v>
      </c>
      <c r="D67">
        <v>13</v>
      </c>
      <c r="E67">
        <v>38</v>
      </c>
      <c r="F67">
        <v>0.34200000000000003</v>
      </c>
    </row>
    <row r="68" spans="1:6" x14ac:dyDescent="0.35">
      <c r="A68" t="s">
        <v>155</v>
      </c>
      <c r="B68" t="s">
        <v>672</v>
      </c>
      <c r="C68" t="s">
        <v>69</v>
      </c>
      <c r="D68">
        <v>11</v>
      </c>
      <c r="E68">
        <v>33</v>
      </c>
      <c r="F68">
        <v>0.33300000000000002</v>
      </c>
    </row>
    <row r="69" spans="1:6" x14ac:dyDescent="0.35">
      <c r="A69" t="s">
        <v>485</v>
      </c>
      <c r="B69" t="s">
        <v>89</v>
      </c>
      <c r="C69" t="s">
        <v>72</v>
      </c>
      <c r="D69">
        <v>10</v>
      </c>
      <c r="E69">
        <v>30</v>
      </c>
      <c r="F69">
        <v>0.33300000000000002</v>
      </c>
    </row>
    <row r="70" spans="1:6" x14ac:dyDescent="0.35">
      <c r="A70" t="s">
        <v>115</v>
      </c>
      <c r="B70" t="s">
        <v>76</v>
      </c>
      <c r="C70" t="s">
        <v>71</v>
      </c>
      <c r="D70">
        <v>11</v>
      </c>
      <c r="E70">
        <v>34</v>
      </c>
      <c r="F70">
        <v>0.32400000000000001</v>
      </c>
    </row>
    <row r="71" spans="1:6" x14ac:dyDescent="0.35">
      <c r="A71" t="s">
        <v>167</v>
      </c>
      <c r="B71" t="s">
        <v>82</v>
      </c>
      <c r="C71" t="s">
        <v>69</v>
      </c>
      <c r="D71">
        <v>10</v>
      </c>
      <c r="E71">
        <v>31</v>
      </c>
      <c r="F71">
        <v>0.32300000000000001</v>
      </c>
    </row>
    <row r="72" spans="1:6" x14ac:dyDescent="0.35">
      <c r="A72" t="s">
        <v>157</v>
      </c>
      <c r="B72" t="s">
        <v>91</v>
      </c>
      <c r="C72" t="s">
        <v>69</v>
      </c>
      <c r="D72">
        <v>12</v>
      </c>
      <c r="E72">
        <v>38</v>
      </c>
      <c r="F72">
        <v>0.316</v>
      </c>
    </row>
    <row r="73" spans="1:6" x14ac:dyDescent="0.35">
      <c r="A73" t="s">
        <v>330</v>
      </c>
      <c r="B73" t="s">
        <v>87</v>
      </c>
      <c r="C73" t="s">
        <v>70</v>
      </c>
      <c r="D73">
        <v>12</v>
      </c>
      <c r="E73">
        <v>38</v>
      </c>
      <c r="F73">
        <v>0.316</v>
      </c>
    </row>
    <row r="74" spans="1:6" x14ac:dyDescent="0.35">
      <c r="A74" t="s">
        <v>98</v>
      </c>
      <c r="B74" t="s">
        <v>88</v>
      </c>
      <c r="C74" t="s">
        <v>71</v>
      </c>
      <c r="D74">
        <v>10</v>
      </c>
      <c r="E74">
        <v>33</v>
      </c>
      <c r="F74">
        <v>0.30299999999999999</v>
      </c>
    </row>
    <row r="75" spans="1:6" x14ac:dyDescent="0.35">
      <c r="A75" t="s">
        <v>367</v>
      </c>
      <c r="B75" t="s">
        <v>77</v>
      </c>
      <c r="C75" t="s">
        <v>70</v>
      </c>
      <c r="D75">
        <v>10</v>
      </c>
      <c r="E75">
        <v>34</v>
      </c>
      <c r="F75">
        <v>0.29399999999999998</v>
      </c>
    </row>
    <row r="76" spans="1:6" x14ac:dyDescent="0.35">
      <c r="A76" t="s">
        <v>152</v>
      </c>
      <c r="B76" t="s">
        <v>78</v>
      </c>
      <c r="C76" t="s">
        <v>69</v>
      </c>
      <c r="D76">
        <v>11</v>
      </c>
      <c r="E76">
        <v>38</v>
      </c>
      <c r="F76">
        <v>0.28899999999999998</v>
      </c>
    </row>
    <row r="77" spans="1:6" x14ac:dyDescent="0.35">
      <c r="A77" t="s">
        <v>109</v>
      </c>
      <c r="B77" t="s">
        <v>89</v>
      </c>
      <c r="C77" t="s">
        <v>71</v>
      </c>
      <c r="D77">
        <v>11</v>
      </c>
      <c r="E77">
        <v>38</v>
      </c>
      <c r="F77">
        <v>0.28899999999999998</v>
      </c>
    </row>
    <row r="78" spans="1:6" x14ac:dyDescent="0.35">
      <c r="A78" t="s">
        <v>216</v>
      </c>
      <c r="B78" t="s">
        <v>91</v>
      </c>
      <c r="C78" t="s">
        <v>69</v>
      </c>
      <c r="D78">
        <v>10</v>
      </c>
      <c r="E78">
        <v>36</v>
      </c>
      <c r="F78">
        <v>0.27800000000000002</v>
      </c>
    </row>
    <row r="79" spans="1:6" x14ac:dyDescent="0.35">
      <c r="A79" t="s">
        <v>107</v>
      </c>
      <c r="B79" t="s">
        <v>86</v>
      </c>
      <c r="C79" t="s">
        <v>71</v>
      </c>
      <c r="D79">
        <v>10</v>
      </c>
      <c r="E79">
        <v>38</v>
      </c>
      <c r="F79">
        <v>0.26300000000000001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A06F6-7164-4DBB-84C5-3F702F8ED4FE}">
  <sheetPr codeName="Sheet6"/>
  <dimension ref="B2:N71"/>
  <sheetViews>
    <sheetView zoomScaleNormal="100" workbookViewId="0">
      <selection activeCell="I10" sqref="I10"/>
    </sheetView>
  </sheetViews>
  <sheetFormatPr defaultRowHeight="14.5" x14ac:dyDescent="0.35"/>
  <sheetData>
    <row r="2" spans="2:14" x14ac:dyDescent="0.35">
      <c r="B2" t="s">
        <v>71</v>
      </c>
      <c r="C2">
        <v>0.3</v>
      </c>
      <c r="D2" t="s">
        <v>682</v>
      </c>
      <c r="E2" t="s">
        <v>683</v>
      </c>
      <c r="F2" t="s">
        <v>684</v>
      </c>
      <c r="N2" s="7"/>
    </row>
    <row r="3" spans="2:14" x14ac:dyDescent="0.35">
      <c r="C3">
        <v>0.27</v>
      </c>
      <c r="D3" t="s">
        <v>32</v>
      </c>
      <c r="E3" t="s">
        <v>685</v>
      </c>
      <c r="F3" t="s">
        <v>100</v>
      </c>
      <c r="G3" t="s">
        <v>686</v>
      </c>
      <c r="H3" t="s">
        <v>119</v>
      </c>
      <c r="N3" s="7"/>
    </row>
    <row r="4" spans="2:14" x14ac:dyDescent="0.35">
      <c r="N4" s="7"/>
    </row>
    <row r="5" spans="2:14" x14ac:dyDescent="0.35">
      <c r="B5" t="s">
        <v>69</v>
      </c>
      <c r="C5">
        <v>0.5</v>
      </c>
      <c r="D5" t="s">
        <v>670</v>
      </c>
      <c r="E5" t="s">
        <v>667</v>
      </c>
      <c r="N5" s="7"/>
    </row>
    <row r="6" spans="2:14" x14ac:dyDescent="0.35">
      <c r="C6">
        <v>0.45</v>
      </c>
      <c r="D6" t="s">
        <v>666</v>
      </c>
      <c r="E6" t="s">
        <v>665</v>
      </c>
      <c r="F6" t="s">
        <v>671</v>
      </c>
      <c r="N6" s="7"/>
    </row>
    <row r="7" spans="2:14" x14ac:dyDescent="0.35">
      <c r="C7">
        <v>0.4</v>
      </c>
      <c r="D7" t="s">
        <v>669</v>
      </c>
      <c r="E7" t="s">
        <v>153</v>
      </c>
      <c r="F7" t="s">
        <v>216</v>
      </c>
      <c r="G7" t="s">
        <v>687</v>
      </c>
      <c r="N7" s="7"/>
    </row>
    <row r="8" spans="2:14" x14ac:dyDescent="0.35">
      <c r="C8">
        <v>0.35</v>
      </c>
      <c r="D8" t="s">
        <v>688</v>
      </c>
      <c r="E8" t="s">
        <v>558</v>
      </c>
      <c r="F8" t="s">
        <v>165</v>
      </c>
      <c r="G8" t="s">
        <v>668</v>
      </c>
      <c r="H8" t="s">
        <v>148</v>
      </c>
      <c r="I8" t="s">
        <v>180</v>
      </c>
      <c r="J8" t="s">
        <v>689</v>
      </c>
      <c r="N8" s="7"/>
    </row>
    <row r="9" spans="2:14" x14ac:dyDescent="0.35">
      <c r="N9" s="7"/>
    </row>
    <row r="10" spans="2:14" x14ac:dyDescent="0.35">
      <c r="B10" t="s">
        <v>70</v>
      </c>
      <c r="C10">
        <v>0.35</v>
      </c>
      <c r="D10" t="s">
        <v>690</v>
      </c>
      <c r="E10" t="s">
        <v>300</v>
      </c>
      <c r="F10" t="s">
        <v>691</v>
      </c>
      <c r="G10" t="s">
        <v>692</v>
      </c>
      <c r="H10" t="s">
        <v>693</v>
      </c>
      <c r="N10" s="7"/>
    </row>
    <row r="11" spans="2:14" x14ac:dyDescent="0.35">
      <c r="C11">
        <v>0.3</v>
      </c>
      <c r="D11" t="s">
        <v>694</v>
      </c>
      <c r="E11" t="s">
        <v>695</v>
      </c>
      <c r="F11" t="s">
        <v>696</v>
      </c>
      <c r="G11" t="s">
        <v>594</v>
      </c>
      <c r="H11" t="s">
        <v>697</v>
      </c>
      <c r="I11" t="s">
        <v>698</v>
      </c>
      <c r="N11" s="7"/>
    </row>
    <row r="12" spans="2:14" x14ac:dyDescent="0.35">
      <c r="C12">
        <v>0.25</v>
      </c>
      <c r="D12" t="s">
        <v>330</v>
      </c>
      <c r="E12" t="s">
        <v>699</v>
      </c>
      <c r="F12" t="s">
        <v>316</v>
      </c>
      <c r="G12" t="s">
        <v>305</v>
      </c>
      <c r="H12" t="s">
        <v>229</v>
      </c>
      <c r="I12" t="s">
        <v>321</v>
      </c>
      <c r="N12" s="7"/>
    </row>
    <row r="13" spans="2:14" x14ac:dyDescent="0.35">
      <c r="N13" s="7"/>
    </row>
    <row r="14" spans="2:14" x14ac:dyDescent="0.35">
      <c r="N14" s="7"/>
    </row>
    <row r="15" spans="2:14" x14ac:dyDescent="0.35">
      <c r="B15" t="s">
        <v>72</v>
      </c>
      <c r="C15">
        <v>0.39</v>
      </c>
      <c r="D15" t="s">
        <v>700</v>
      </c>
      <c r="E15" t="s">
        <v>701</v>
      </c>
      <c r="N15" s="7"/>
    </row>
    <row r="16" spans="2:14" x14ac:dyDescent="0.35">
      <c r="C16">
        <v>0.3</v>
      </c>
      <c r="D16" t="s">
        <v>471</v>
      </c>
      <c r="E16" t="s">
        <v>467</v>
      </c>
      <c r="F16" t="s">
        <v>702</v>
      </c>
      <c r="G16" t="s">
        <v>481</v>
      </c>
      <c r="H16" t="s">
        <v>345</v>
      </c>
      <c r="N16" s="7"/>
    </row>
    <row r="17" spans="3:14" x14ac:dyDescent="0.35">
      <c r="C17">
        <v>0.25</v>
      </c>
      <c r="D17" t="s">
        <v>703</v>
      </c>
      <c r="E17" t="s">
        <v>337</v>
      </c>
      <c r="F17" t="s">
        <v>704</v>
      </c>
      <c r="G17" t="s">
        <v>482</v>
      </c>
      <c r="H17" t="s">
        <v>705</v>
      </c>
      <c r="N17" s="7"/>
    </row>
    <row r="18" spans="3:14" x14ac:dyDescent="0.35">
      <c r="N18" s="7"/>
    </row>
    <row r="19" spans="3:14" x14ac:dyDescent="0.35">
      <c r="N19" s="7"/>
    </row>
    <row r="20" spans="3:14" x14ac:dyDescent="0.35">
      <c r="N20" s="7"/>
    </row>
    <row r="21" spans="3:14" x14ac:dyDescent="0.35">
      <c r="N21" s="7"/>
    </row>
    <row r="22" spans="3:14" x14ac:dyDescent="0.35">
      <c r="N22" s="7"/>
    </row>
    <row r="23" spans="3:14" x14ac:dyDescent="0.35">
      <c r="N23" s="7"/>
    </row>
    <row r="24" spans="3:14" x14ac:dyDescent="0.35">
      <c r="N24" s="7"/>
    </row>
    <row r="25" spans="3:14" x14ac:dyDescent="0.35">
      <c r="N25" s="7"/>
    </row>
    <row r="26" spans="3:14" x14ac:dyDescent="0.35">
      <c r="N26" s="7"/>
    </row>
    <row r="27" spans="3:14" x14ac:dyDescent="0.35">
      <c r="N27" s="7"/>
    </row>
    <row r="28" spans="3:14" x14ac:dyDescent="0.35">
      <c r="N28" s="7"/>
    </row>
    <row r="29" spans="3:14" x14ac:dyDescent="0.35">
      <c r="N29" s="7"/>
    </row>
    <row r="30" spans="3:14" x14ac:dyDescent="0.35">
      <c r="N30" s="7"/>
    </row>
    <row r="31" spans="3:14" x14ac:dyDescent="0.35">
      <c r="N31" s="7"/>
    </row>
    <row r="32" spans="3:14" x14ac:dyDescent="0.35">
      <c r="N32" s="7"/>
    </row>
    <row r="33" spans="14:14" x14ac:dyDescent="0.35">
      <c r="N33" s="7"/>
    </row>
    <row r="34" spans="14:14" x14ac:dyDescent="0.35">
      <c r="N34" s="7"/>
    </row>
    <row r="35" spans="14:14" x14ac:dyDescent="0.35">
      <c r="N35" s="7"/>
    </row>
    <row r="36" spans="14:14" x14ac:dyDescent="0.35">
      <c r="N36" s="7"/>
    </row>
    <row r="37" spans="14:14" x14ac:dyDescent="0.35">
      <c r="N37" s="7"/>
    </row>
    <row r="38" spans="14:14" x14ac:dyDescent="0.35">
      <c r="N38" s="7"/>
    </row>
    <row r="39" spans="14:14" x14ac:dyDescent="0.35">
      <c r="N39" s="7"/>
    </row>
    <row r="40" spans="14:14" x14ac:dyDescent="0.35">
      <c r="N40" s="7"/>
    </row>
    <row r="41" spans="14:14" x14ac:dyDescent="0.35">
      <c r="N41" s="7"/>
    </row>
    <row r="42" spans="14:14" x14ac:dyDescent="0.35">
      <c r="N42" s="7"/>
    </row>
    <row r="43" spans="14:14" x14ac:dyDescent="0.35">
      <c r="N43" s="7"/>
    </row>
    <row r="44" spans="14:14" x14ac:dyDescent="0.35">
      <c r="N44" s="7"/>
    </row>
    <row r="45" spans="14:14" x14ac:dyDescent="0.35">
      <c r="N45" s="7"/>
    </row>
    <row r="46" spans="14:14" x14ac:dyDescent="0.35">
      <c r="N46" s="7"/>
    </row>
    <row r="47" spans="14:14" x14ac:dyDescent="0.35">
      <c r="N47" s="7"/>
    </row>
    <row r="48" spans="14:14" x14ac:dyDescent="0.35">
      <c r="N48" s="7"/>
    </row>
    <row r="49" spans="14:14" x14ac:dyDescent="0.35">
      <c r="N49" s="7"/>
    </row>
    <row r="50" spans="14:14" x14ac:dyDescent="0.35">
      <c r="N50" s="7"/>
    </row>
    <row r="51" spans="14:14" x14ac:dyDescent="0.35">
      <c r="N51" s="7"/>
    </row>
    <row r="52" spans="14:14" x14ac:dyDescent="0.35">
      <c r="N52" s="7"/>
    </row>
    <row r="53" spans="14:14" x14ac:dyDescent="0.35">
      <c r="N53" s="7"/>
    </row>
    <row r="54" spans="14:14" x14ac:dyDescent="0.35">
      <c r="N54" s="7"/>
    </row>
    <row r="55" spans="14:14" x14ac:dyDescent="0.35">
      <c r="N55" s="7"/>
    </row>
    <row r="56" spans="14:14" x14ac:dyDescent="0.35">
      <c r="N56" s="7"/>
    </row>
    <row r="57" spans="14:14" x14ac:dyDescent="0.35">
      <c r="N57" s="7"/>
    </row>
    <row r="58" spans="14:14" x14ac:dyDescent="0.35">
      <c r="N58" s="7"/>
    </row>
    <row r="59" spans="14:14" x14ac:dyDescent="0.35">
      <c r="N59" s="7"/>
    </row>
    <row r="60" spans="14:14" x14ac:dyDescent="0.35">
      <c r="N60" s="7"/>
    </row>
    <row r="61" spans="14:14" x14ac:dyDescent="0.35">
      <c r="N61" s="7"/>
    </row>
    <row r="62" spans="14:14" x14ac:dyDescent="0.35">
      <c r="N62" s="7"/>
    </row>
    <row r="63" spans="14:14" x14ac:dyDescent="0.35">
      <c r="N63" s="7"/>
    </row>
    <row r="64" spans="14:14" x14ac:dyDescent="0.35">
      <c r="N64" s="7"/>
    </row>
    <row r="65" spans="14:14" x14ac:dyDescent="0.35">
      <c r="N65" s="7"/>
    </row>
    <row r="66" spans="14:14" x14ac:dyDescent="0.35">
      <c r="N66" s="7"/>
    </row>
    <row r="67" spans="14:14" x14ac:dyDescent="0.35">
      <c r="N67" s="7"/>
    </row>
    <row r="68" spans="14:14" x14ac:dyDescent="0.35">
      <c r="N68" s="7"/>
    </row>
    <row r="69" spans="14:14" x14ac:dyDescent="0.35">
      <c r="N69" s="7"/>
    </row>
    <row r="70" spans="14:14" x14ac:dyDescent="0.35">
      <c r="N70" s="7"/>
    </row>
    <row r="71" spans="14:14" x14ac:dyDescent="0.35">
      <c r="N71"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xData Player 18-19</vt:lpstr>
      <vt:lpstr>xData Team 18-19</vt:lpstr>
      <vt:lpstr>FPL Playerbase</vt:lpstr>
      <vt:lpstr>BPs 18-19</vt:lpstr>
      <vt:lpstr>Scrap</vt:lpstr>
      <vt:lpstr>Summary!Print_Area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Harrison Patzelt</dc:creator>
  <cp:lastModifiedBy>Harrison Patzelt</cp:lastModifiedBy>
  <cp:lastPrinted>2019-09-22T14:43:55Z</cp:lastPrinted>
  <dcterms:created xsi:type="dcterms:W3CDTF">2019-07-24T02:09:58Z</dcterms:created>
  <dcterms:modified xsi:type="dcterms:W3CDTF">2019-09-22T14:45:10Z</dcterms:modified>
</cp:coreProperties>
</file>